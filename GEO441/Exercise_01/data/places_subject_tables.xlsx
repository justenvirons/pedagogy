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Cook County Health\git_repos\justenvirons\pedagogy\GEO441\Exercise_01\data\"/>
    </mc:Choice>
  </mc:AlternateContent>
  <xr:revisionPtr revIDLastSave="0" documentId="13_ncr:1_{340F576E-032C-4130-9AFF-32ABFD716D96}" xr6:coauthVersionLast="47" xr6:coauthVersionMax="47" xr10:uidLastSave="{00000000-0000-0000-0000-000000000000}"/>
  <bookViews>
    <workbookView xWindow="-110" yWindow="-110" windowWidth="19420" windowHeight="10300" activeTab="1" xr2:uid="{9B53F029-D93F-423D-9B25-490814392E3E}"/>
  </bookViews>
  <sheets>
    <sheet name="places" sheetId="1" r:id="rId1"/>
    <sheet name="acs_subject_tabl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2" i="1"/>
</calcChain>
</file>

<file path=xl/sharedStrings.xml><?xml version="1.0" encoding="utf-8"?>
<sst xmlns="http://schemas.openxmlformats.org/spreadsheetml/2006/main" count="1265" uniqueCount="588">
  <si>
    <t>state</t>
  </si>
  <si>
    <t>place</t>
  </si>
  <si>
    <t>GEOID</t>
  </si>
  <si>
    <t>pop_2020</t>
  </si>
  <si>
    <t>NAME</t>
  </si>
  <si>
    <t>STUSPS</t>
  </si>
  <si>
    <t>STATE_NAME</t>
  </si>
  <si>
    <t>ALAND</t>
  </si>
  <si>
    <t>AWATER</t>
  </si>
  <si>
    <t>Richmond</t>
  </si>
  <si>
    <t>VA</t>
  </si>
  <si>
    <t>Virginia</t>
  </si>
  <si>
    <t>Beaumont</t>
  </si>
  <si>
    <t>TX</t>
  </si>
  <si>
    <t>Texas</t>
  </si>
  <si>
    <t>Mesquite</t>
  </si>
  <si>
    <t>Midland</t>
  </si>
  <si>
    <t>Providence</t>
  </si>
  <si>
    <t>RI</t>
  </si>
  <si>
    <t>Rhode Island</t>
  </si>
  <si>
    <t>Brownsville</t>
  </si>
  <si>
    <t>Allentown</t>
  </si>
  <si>
    <t>PA</t>
  </si>
  <si>
    <t>Pennsylvania</t>
  </si>
  <si>
    <t>Virginia Beach</t>
  </si>
  <si>
    <t>Carrollton</t>
  </si>
  <si>
    <t>Odessa</t>
  </si>
  <si>
    <t>Provo</t>
  </si>
  <si>
    <t>UT</t>
  </si>
  <si>
    <t>Utah</t>
  </si>
  <si>
    <t>Salt Lake City</t>
  </si>
  <si>
    <t>College Station</t>
  </si>
  <si>
    <t>Pasadena</t>
  </si>
  <si>
    <t>Pearland</t>
  </si>
  <si>
    <t>Norman</t>
  </si>
  <si>
    <t>OK</t>
  </si>
  <si>
    <t>Oklahoma</t>
  </si>
  <si>
    <t>Sioux Falls</t>
  </si>
  <si>
    <t>SD</t>
  </si>
  <si>
    <t>South Dakota</t>
  </si>
  <si>
    <t>West Jordan</t>
  </si>
  <si>
    <t>West Valley City</t>
  </si>
  <si>
    <t>Bellevue</t>
  </si>
  <si>
    <t>WA</t>
  </si>
  <si>
    <t>Washington</t>
  </si>
  <si>
    <t>Corpus Christi</t>
  </si>
  <si>
    <t>Dallas</t>
  </si>
  <si>
    <t>Plano</t>
  </si>
  <si>
    <t>Oklahoma City</t>
  </si>
  <si>
    <t>Denton</t>
  </si>
  <si>
    <t>Charleston</t>
  </si>
  <si>
    <t>SC</t>
  </si>
  <si>
    <t>South Carolina</t>
  </si>
  <si>
    <t>Columbia</t>
  </si>
  <si>
    <t>Everett</t>
  </si>
  <si>
    <t>El Paso</t>
  </si>
  <si>
    <t>Richardson</t>
  </si>
  <si>
    <t>Round Rock</t>
  </si>
  <si>
    <t>Chattanooga</t>
  </si>
  <si>
    <t>TN</t>
  </si>
  <si>
    <t>Tennessee</t>
  </si>
  <si>
    <t>Clarksville</t>
  </si>
  <si>
    <t>Alexandria</t>
  </si>
  <si>
    <t>Fort Worth</t>
  </si>
  <si>
    <t>Frisco</t>
  </si>
  <si>
    <t>San Angelo</t>
  </si>
  <si>
    <t>San Antonio</t>
  </si>
  <si>
    <t>Tulsa</t>
  </si>
  <si>
    <t>Arlington</t>
  </si>
  <si>
    <t>Kent</t>
  </si>
  <si>
    <t>Garland</t>
  </si>
  <si>
    <t>Grand Prairie</t>
  </si>
  <si>
    <t>Toledo</t>
  </si>
  <si>
    <t>OH</t>
  </si>
  <si>
    <t>Ohio</t>
  </si>
  <si>
    <t>Philadelphia</t>
  </si>
  <si>
    <t>Pittsburgh</t>
  </si>
  <si>
    <t>Chesapeake</t>
  </si>
  <si>
    <t>Bayamón</t>
  </si>
  <si>
    <t>PR</t>
  </si>
  <si>
    <t>Puerto Rico</t>
  </si>
  <si>
    <t>Carolina</t>
  </si>
  <si>
    <t>North Charleston</t>
  </si>
  <si>
    <t>Knoxville</t>
  </si>
  <si>
    <t>Houston</t>
  </si>
  <si>
    <t>Sugar Land</t>
  </si>
  <si>
    <t>The Woodlands</t>
  </si>
  <si>
    <t>Memphis</t>
  </si>
  <si>
    <t>Murfreesboro</t>
  </si>
  <si>
    <t>Nashville-Davidson metropolitan government (balance)</t>
  </si>
  <si>
    <t>Renton</t>
  </si>
  <si>
    <t>Irving</t>
  </si>
  <si>
    <t>Killeen</t>
  </si>
  <si>
    <t>Tyler</t>
  </si>
  <si>
    <t>Eugene</t>
  </si>
  <si>
    <t>OR</t>
  </si>
  <si>
    <t>Oregon</t>
  </si>
  <si>
    <t>Gresham</t>
  </si>
  <si>
    <t>Hampton</t>
  </si>
  <si>
    <t>Seattle</t>
  </si>
  <si>
    <t>Green Bay</t>
  </si>
  <si>
    <t>WI</t>
  </si>
  <si>
    <t>Wisconsin</t>
  </si>
  <si>
    <t>Ponce</t>
  </si>
  <si>
    <t>Waco</t>
  </si>
  <si>
    <t>Broken Arrow</t>
  </si>
  <si>
    <t>Hillsboro</t>
  </si>
  <si>
    <t>Spokane</t>
  </si>
  <si>
    <t>Tacoma</t>
  </si>
  <si>
    <t>San Juan</t>
  </si>
  <si>
    <t>Laredo</t>
  </si>
  <si>
    <t>League City</t>
  </si>
  <si>
    <t>Wichita Falls</t>
  </si>
  <si>
    <t>Vancouver</t>
  </si>
  <si>
    <t>Madison</t>
  </si>
  <si>
    <t>Abilene</t>
  </si>
  <si>
    <t>Allen</t>
  </si>
  <si>
    <t>Amarillo</t>
  </si>
  <si>
    <t>Lewisville</t>
  </si>
  <si>
    <t>Portland</t>
  </si>
  <si>
    <t>Salem</t>
  </si>
  <si>
    <t>Newport News</t>
  </si>
  <si>
    <t>Norfolk</t>
  </si>
  <si>
    <t>Milwaukee</t>
  </si>
  <si>
    <t>Austin</t>
  </si>
  <si>
    <t>Lubbock</t>
  </si>
  <si>
    <t>McAllen</t>
  </si>
  <si>
    <t>McKinney</t>
  </si>
  <si>
    <t>Gainesville</t>
  </si>
  <si>
    <t>FL</t>
  </si>
  <si>
    <t>Florida</t>
  </si>
  <si>
    <t>St. Petersburg</t>
  </si>
  <si>
    <t>Lincoln</t>
  </si>
  <si>
    <t>NE</t>
  </si>
  <si>
    <t>Nebraska</t>
  </si>
  <si>
    <t>Baton Rouge</t>
  </si>
  <si>
    <t>LA</t>
  </si>
  <si>
    <t>Louisiana</t>
  </si>
  <si>
    <t>Mobile</t>
  </si>
  <si>
    <t>AL</t>
  </si>
  <si>
    <t>Alabama</t>
  </si>
  <si>
    <t>Montgomery</t>
  </si>
  <si>
    <t>Huntington Beach</t>
  </si>
  <si>
    <t>CA</t>
  </si>
  <si>
    <t>California</t>
  </si>
  <si>
    <t>Inglewood</t>
  </si>
  <si>
    <t>Irvine</t>
  </si>
  <si>
    <t>West Covina</t>
  </si>
  <si>
    <t>DC</t>
  </si>
  <si>
    <t>District of Columbia</t>
  </si>
  <si>
    <t>Anchorage</t>
  </si>
  <si>
    <t>AK</t>
  </si>
  <si>
    <t>Alaska</t>
  </si>
  <si>
    <t>Billings</t>
  </si>
  <si>
    <t>MT</t>
  </si>
  <si>
    <t>Montana</t>
  </si>
  <si>
    <t>Hialeah</t>
  </si>
  <si>
    <t>Hollywood</t>
  </si>
  <si>
    <t>Spring Hill</t>
  </si>
  <si>
    <t>Tallahassee</t>
  </si>
  <si>
    <t>Tampa</t>
  </si>
  <si>
    <t>Jurupa Valley</t>
  </si>
  <si>
    <t>Sandy Springs</t>
  </si>
  <si>
    <t>GA</t>
  </si>
  <si>
    <t>Georgia</t>
  </si>
  <si>
    <t>Springfield</t>
  </si>
  <si>
    <t>IL</t>
  </si>
  <si>
    <t>Illinois</t>
  </si>
  <si>
    <t>Ann Arbor</t>
  </si>
  <si>
    <t>MI</t>
  </si>
  <si>
    <t>Michigan</t>
  </si>
  <si>
    <t>Jackson</t>
  </si>
  <si>
    <t>MS</t>
  </si>
  <si>
    <t>Mississippi</t>
  </si>
  <si>
    <t>Fargo</t>
  </si>
  <si>
    <t>ND</t>
  </si>
  <si>
    <t>North Dakota</t>
  </si>
  <si>
    <t>MO</t>
  </si>
  <si>
    <t>Missouri</t>
  </si>
  <si>
    <t>Independence</t>
  </si>
  <si>
    <t>Jacksonville</t>
  </si>
  <si>
    <t>Lakeland</t>
  </si>
  <si>
    <t>Omaha</t>
  </si>
  <si>
    <t>South Bend</t>
  </si>
  <si>
    <t>IN</t>
  </si>
  <si>
    <t>Indiana</t>
  </si>
  <si>
    <t>Lancaster</t>
  </si>
  <si>
    <t>Savannah</t>
  </si>
  <si>
    <t>Elgin</t>
  </si>
  <si>
    <t>Kansas City</t>
  </si>
  <si>
    <t>Brandon</t>
  </si>
  <si>
    <t>Lehigh Acres</t>
  </si>
  <si>
    <t>West Palm Beach</t>
  </si>
  <si>
    <t>Lafayette</t>
  </si>
  <si>
    <t>Tuscaloosa</t>
  </si>
  <si>
    <t>Long Beach</t>
  </si>
  <si>
    <t>Los Angeles</t>
  </si>
  <si>
    <t>St. Louis</t>
  </si>
  <si>
    <t>Cape Coral</t>
  </si>
  <si>
    <t>Clearwater</t>
  </si>
  <si>
    <t>Miami</t>
  </si>
  <si>
    <t>Miami Gardens</t>
  </si>
  <si>
    <t>Miramar</t>
  </si>
  <si>
    <t>Metairie</t>
  </si>
  <si>
    <t>Boston</t>
  </si>
  <si>
    <t>MA</t>
  </si>
  <si>
    <t>Massachusetts</t>
  </si>
  <si>
    <t>Cambridge</t>
  </si>
  <si>
    <t>Lowell</t>
  </si>
  <si>
    <t>Detroit</t>
  </si>
  <si>
    <t>Coral Springs</t>
  </si>
  <si>
    <t>Davie</t>
  </si>
  <si>
    <t>New Orleans</t>
  </si>
  <si>
    <t>Worcester</t>
  </si>
  <si>
    <t>Akron</t>
  </si>
  <si>
    <t>Cincinnati</t>
  </si>
  <si>
    <t>Cleveland</t>
  </si>
  <si>
    <t>Columbus</t>
  </si>
  <si>
    <t>Anaheim</t>
  </si>
  <si>
    <t>Antioch</t>
  </si>
  <si>
    <t>Modesto</t>
  </si>
  <si>
    <t>Moreno Valley</t>
  </si>
  <si>
    <t>Grand Rapids</t>
  </si>
  <si>
    <t>Albuquerque</t>
  </si>
  <si>
    <t>NM</t>
  </si>
  <si>
    <t>New Mexico</t>
  </si>
  <si>
    <t>Fort Lauderdale</t>
  </si>
  <si>
    <t>Orlando</t>
  </si>
  <si>
    <t>Palm Bay</t>
  </si>
  <si>
    <t>Pembroke Pines</t>
  </si>
  <si>
    <t>Enterprise</t>
  </si>
  <si>
    <t>NV</t>
  </si>
  <si>
    <t>Nevada</t>
  </si>
  <si>
    <t>Henderson</t>
  </si>
  <si>
    <t>Las Vegas</t>
  </si>
  <si>
    <t>North Las Vegas</t>
  </si>
  <si>
    <t>Shreveport</t>
  </si>
  <si>
    <t>Dayton</t>
  </si>
  <si>
    <t>Bakersfield</t>
  </si>
  <si>
    <t>Berkeley</t>
  </si>
  <si>
    <t>Murrieta</t>
  </si>
  <si>
    <t>Norwalk</t>
  </si>
  <si>
    <t>Arvada</t>
  </si>
  <si>
    <t>CO</t>
  </si>
  <si>
    <t>Colorado</t>
  </si>
  <si>
    <t>Aurora</t>
  </si>
  <si>
    <t>Urban Honolulu</t>
  </si>
  <si>
    <t>HI</t>
  </si>
  <si>
    <t>Hawaii</t>
  </si>
  <si>
    <t>Joliet</t>
  </si>
  <si>
    <t>Pompano Beach</t>
  </si>
  <si>
    <t>Port St. Lucie</t>
  </si>
  <si>
    <t>Paradise</t>
  </si>
  <si>
    <t>Reno</t>
  </si>
  <si>
    <t>Sparks</t>
  </si>
  <si>
    <t>Spring Valley</t>
  </si>
  <si>
    <t>Sunrise Manor</t>
  </si>
  <si>
    <t>Evansville</t>
  </si>
  <si>
    <t>Fort Wayne</t>
  </si>
  <si>
    <t>Burbank</t>
  </si>
  <si>
    <t>Oakland</t>
  </si>
  <si>
    <t>Oceanside</t>
  </si>
  <si>
    <t>Ontario</t>
  </si>
  <si>
    <t>Orange</t>
  </si>
  <si>
    <t>Oxnard</t>
  </si>
  <si>
    <t>Palmdale</t>
  </si>
  <si>
    <t>Little Rock</t>
  </si>
  <si>
    <t>AR</t>
  </si>
  <si>
    <t>Arkansas</t>
  </si>
  <si>
    <t>Boulder</t>
  </si>
  <si>
    <t>Centennial</t>
  </si>
  <si>
    <t>Colorado Springs</t>
  </si>
  <si>
    <t>Boise City</t>
  </si>
  <si>
    <t>ID</t>
  </si>
  <si>
    <t>Idaho</t>
  </si>
  <si>
    <t>Cedar Rapids</t>
  </si>
  <si>
    <t>IA</t>
  </si>
  <si>
    <t>Iowa</t>
  </si>
  <si>
    <t>Baltimore</t>
  </si>
  <si>
    <t>MD</t>
  </si>
  <si>
    <t>Maryland</t>
  </si>
  <si>
    <t>Lansing</t>
  </si>
  <si>
    <t>Chandler</t>
  </si>
  <si>
    <t>AZ</t>
  </si>
  <si>
    <t>Arizona</t>
  </si>
  <si>
    <t>Manchester</t>
  </si>
  <si>
    <t>NH</t>
  </si>
  <si>
    <t>New Hampshire</t>
  </si>
  <si>
    <t>Carlsbad</t>
  </si>
  <si>
    <t>Denver</t>
  </si>
  <si>
    <t>Gilbert</t>
  </si>
  <si>
    <t>Glendale</t>
  </si>
  <si>
    <t>New York</t>
  </si>
  <si>
    <t>NY</t>
  </si>
  <si>
    <t>Rochester</t>
  </si>
  <si>
    <t>Topeka</t>
  </si>
  <si>
    <t>KS</t>
  </si>
  <si>
    <t>Kansas</t>
  </si>
  <si>
    <t>Chula Vista</t>
  </si>
  <si>
    <t>Clovis</t>
  </si>
  <si>
    <t>Pomona</t>
  </si>
  <si>
    <t>Rancho Cucamonga</t>
  </si>
  <si>
    <t>Rialto</t>
  </si>
  <si>
    <t>Fort Collins</t>
  </si>
  <si>
    <t>Greeley</t>
  </si>
  <si>
    <t>Highlands Ranch</t>
  </si>
  <si>
    <t>Athens-Clarke County unified government (balance)</t>
  </si>
  <si>
    <t>Atlanta</t>
  </si>
  <si>
    <t>Augusta-Richmond County consolidated government (balance)</t>
  </si>
  <si>
    <t>Meridian</t>
  </si>
  <si>
    <t>Davenport</t>
  </si>
  <si>
    <t>Des Moines</t>
  </si>
  <si>
    <t>Las Cruces</t>
  </si>
  <si>
    <t>Buffalo</t>
  </si>
  <si>
    <t>Syracuse</t>
  </si>
  <si>
    <t>Yonkers</t>
  </si>
  <si>
    <t>Durham</t>
  </si>
  <si>
    <t>NC</t>
  </si>
  <si>
    <t>North Carolina</t>
  </si>
  <si>
    <t>Greensboro</t>
  </si>
  <si>
    <t>Wichita</t>
  </si>
  <si>
    <t>Lexington-Fayette</t>
  </si>
  <si>
    <t>KY</t>
  </si>
  <si>
    <t>Kentucky</t>
  </si>
  <si>
    <t>Louisville/Jefferson County metro government (balance)</t>
  </si>
  <si>
    <t>Concord</t>
  </si>
  <si>
    <t>Corona</t>
  </si>
  <si>
    <t>Costa Mesa</t>
  </si>
  <si>
    <t>Daly City</t>
  </si>
  <si>
    <t>Riverside</t>
  </si>
  <si>
    <t>Roseville</t>
  </si>
  <si>
    <t>Sacramento</t>
  </si>
  <si>
    <t>Salinas</t>
  </si>
  <si>
    <t>Lakewood</t>
  </si>
  <si>
    <t>Mesa</t>
  </si>
  <si>
    <t>Cary</t>
  </si>
  <si>
    <t>Charlotte</t>
  </si>
  <si>
    <t>Fayetteville</t>
  </si>
  <si>
    <t>High Point</t>
  </si>
  <si>
    <t>Birmingham</t>
  </si>
  <si>
    <t>Downey</t>
  </si>
  <si>
    <t>San Bernardino</t>
  </si>
  <si>
    <t>San Buenaventura (Ventura)</t>
  </si>
  <si>
    <t>San Diego</t>
  </si>
  <si>
    <t>San Francisco</t>
  </si>
  <si>
    <t>San Jose</t>
  </si>
  <si>
    <t>San Mateo</t>
  </si>
  <si>
    <t>Santa Ana</t>
  </si>
  <si>
    <t>Santa Clara</t>
  </si>
  <si>
    <t>Santa Clarita</t>
  </si>
  <si>
    <t>Santa Maria</t>
  </si>
  <si>
    <t>Santa Rosa</t>
  </si>
  <si>
    <t>Naperville</t>
  </si>
  <si>
    <t>Peoria</t>
  </si>
  <si>
    <t>Phoenix</t>
  </si>
  <si>
    <t>Raleigh</t>
  </si>
  <si>
    <t>Wilmington</t>
  </si>
  <si>
    <t>Winston-Salem</t>
  </si>
  <si>
    <t>East Los Angeles</t>
  </si>
  <si>
    <t>El Cajon</t>
  </si>
  <si>
    <t>Elk Grove</t>
  </si>
  <si>
    <t>El Monte</t>
  </si>
  <si>
    <t>Simi Valley</t>
  </si>
  <si>
    <t>Bridgeport</t>
  </si>
  <si>
    <t>CT</t>
  </si>
  <si>
    <t>Connecticut</t>
  </si>
  <si>
    <t>Pueblo</t>
  </si>
  <si>
    <t>Sterling Heights</t>
  </si>
  <si>
    <t>San Tan Valley</t>
  </si>
  <si>
    <t>Scottsdale</t>
  </si>
  <si>
    <t>Surprise</t>
  </si>
  <si>
    <t>Elizabeth</t>
  </si>
  <si>
    <t>NJ</t>
  </si>
  <si>
    <t>New Jersey</t>
  </si>
  <si>
    <t>Jersey City</t>
  </si>
  <si>
    <t>Newark</t>
  </si>
  <si>
    <t>Escondido</t>
  </si>
  <si>
    <t>Fairfield</t>
  </si>
  <si>
    <t>Fontana</t>
  </si>
  <si>
    <t>Stockton</t>
  </si>
  <si>
    <t>Sunnyvale</t>
  </si>
  <si>
    <t>Hartford</t>
  </si>
  <si>
    <t>Thornton</t>
  </si>
  <si>
    <t>Warren</t>
  </si>
  <si>
    <t>Tempe</t>
  </si>
  <si>
    <t>Tucson</t>
  </si>
  <si>
    <t>Paterson</t>
  </si>
  <si>
    <t>Olathe</t>
  </si>
  <si>
    <t>Overland Park</t>
  </si>
  <si>
    <t>Fremont</t>
  </si>
  <si>
    <t>Fresno</t>
  </si>
  <si>
    <t>Fullerton</t>
  </si>
  <si>
    <t>Garden Grove</t>
  </si>
  <si>
    <t>Temecula</t>
  </si>
  <si>
    <t>Thousand Oaks</t>
  </si>
  <si>
    <t>Torrance</t>
  </si>
  <si>
    <t>New Haven</t>
  </si>
  <si>
    <t>Westminster</t>
  </si>
  <si>
    <t>Indianapolis city (balance)</t>
  </si>
  <si>
    <t>Minneapolis</t>
  </si>
  <si>
    <t>MN</t>
  </si>
  <si>
    <t>Minnesota</t>
  </si>
  <si>
    <t>St. Paul</t>
  </si>
  <si>
    <t>Huntsville</t>
  </si>
  <si>
    <t>Hayward</t>
  </si>
  <si>
    <t>Vallejo</t>
  </si>
  <si>
    <t>Victorville</t>
  </si>
  <si>
    <t>Visalia</t>
  </si>
  <si>
    <t>Vista</t>
  </si>
  <si>
    <t>Stamford</t>
  </si>
  <si>
    <t>Waterbury</t>
  </si>
  <si>
    <t>Macon-Bibb County</t>
  </si>
  <si>
    <t>Chicago</t>
  </si>
  <si>
    <t>Rockford</t>
  </si>
  <si>
    <t>name</t>
  </si>
  <si>
    <t>description</t>
  </si>
  <si>
    <t>S0103PR</t>
  </si>
  <si>
    <t>POPULATION 65 YEARS AND OVER IN PUERTO RICO</t>
  </si>
  <si>
    <t>S1601</t>
  </si>
  <si>
    <t>LANGUAGE SPOKEN AT HOME</t>
  </si>
  <si>
    <t>S2414</t>
  </si>
  <si>
    <t>INDUSTRY BY SEX AND MEDIAN EARNINGS IN THE PAST 12 MONTHS (IN 2020 INFLATION-ADJUSTED DOLLARS) FOR THE FULL-TIME, YEAR-ROUND CIVILIAN EMPLOYED POPULATION 16 YEARS AND OVER</t>
  </si>
  <si>
    <t>S1602</t>
  </si>
  <si>
    <t>LIMITED ENGLISH SPEAKING HOUSEHOLDS</t>
  </si>
  <si>
    <t>S0502PR</t>
  </si>
  <si>
    <t>SELECTED CHARACTERISTICS OF THE FOREIGN-BORN POPULATION BY PERIOD OF ENTRY INTO PUERTO RICO</t>
  </si>
  <si>
    <t>S1603</t>
  </si>
  <si>
    <t>CHARACTERISTICS OF PEOPLE BY LANGUAGE SPOKEN AT HOME</t>
  </si>
  <si>
    <t>S2419</t>
  </si>
  <si>
    <t>CLASS OF WORKER BY SEX AND MEDIAN EARNINGS IN THE PAST 12 MONTHS (IN 2020 INFLATION-ADJUSTED DOLLARS) FOR THE FULL-TIME, YEAR-ROUND CIVILIAN EMPLOYED POPULATION 16 YEARS AND OVER</t>
  </si>
  <si>
    <t>S2418</t>
  </si>
  <si>
    <t>CLASS OF WORKER BY SEX AND MEDIAN EARNINGS IN THE PAST 12 MONTHS (IN 2020 INFLATION-ADJUSTED DOLLARS) FOR THE CIVILIAN EMPLOYED POPULATION 16 YEARS AND OVER</t>
  </si>
  <si>
    <t>S1001</t>
  </si>
  <si>
    <t>GRANDCHILDREN CHARACTERISTICS</t>
  </si>
  <si>
    <t>S1002</t>
  </si>
  <si>
    <t>GRANDPARENTS</t>
  </si>
  <si>
    <t>S2411</t>
  </si>
  <si>
    <t>OCCUPATION BY SEX AND MEDIAN EARNINGS IN THE PAST 12 MONTHS (IN 2020 INFLATION-ADJUSTED DOLLARS) FOR THE CIVILIAN EMPLOYED POPULATION 16 YEARS AND OVER</t>
  </si>
  <si>
    <t>S1201</t>
  </si>
  <si>
    <t>MARITAL STATUS</t>
  </si>
  <si>
    <t>S2413</t>
  </si>
  <si>
    <t>INDUSTRY BY SEX AND MEDIAN EARNINGS IN THE PAST 12 MONTHS (IN 2020 INFLATION-ADJUSTED DOLLARS) FOR THE CIVILIAN EMPLOYED POPULATION 16 YEARS AND OVER</t>
  </si>
  <si>
    <t>S1401</t>
  </si>
  <si>
    <t>SCHOOL ENROLLMENT</t>
  </si>
  <si>
    <t>S2412</t>
  </si>
  <si>
    <t>OCCUPATION BY SEX AND MEDIAN EARNINGS IN THE PAST 12 MONTHS (IN 2020 INFLATION-ADJUSTED DOLLARS) FOR THE FULL-TIME, YEAR-ROUND CIVILIAN EMPLOYED POPULATION 16 YEARS AND OVER</t>
  </si>
  <si>
    <t>S2404</t>
  </si>
  <si>
    <t>INDUSTRY BY SEX FOR THE FULL-TIME, YEAR-ROUND CIVILIAN EMPLOYED POPULATION 16 YEARS AND OVER</t>
  </si>
  <si>
    <t>S2602</t>
  </si>
  <si>
    <t>CHARACTERISTICS OF THE GROUP QUARTERS POPULATION BY GROUP QUARTERS TYPE (3 TYPES)</t>
  </si>
  <si>
    <t>S0501</t>
  </si>
  <si>
    <t>SELECTED CHARACTERISTICS OF THE NATIVE AND FOREIGN-BORN POPULATIONS</t>
  </si>
  <si>
    <t>S2403</t>
  </si>
  <si>
    <t>INDUSTRY BY SEX FOR THE CIVILIAN EMPLOYED POPULATION 16 YEARS AND OVER</t>
  </si>
  <si>
    <t>S2601APR</t>
  </si>
  <si>
    <t>CHARACTERISTICS OF THE GROUP QUARTERS POPULATION IN PUERTO RICO</t>
  </si>
  <si>
    <t>S0502</t>
  </si>
  <si>
    <t>SELECTED CHARACTERISTICS OF THE FOREIGN-BORN POPULATION BY PERIOD OF ENTRY INTO THE UNITED STATES</t>
  </si>
  <si>
    <t>S2406</t>
  </si>
  <si>
    <t>OCCUPATION BY CLASS OF WORKER FOR THE CIVILIAN EMPLOYED POPULATION 16 YEARS AND OVER</t>
  </si>
  <si>
    <t>S2802</t>
  </si>
  <si>
    <t>TYPES OF INTERNET SUBSCRIPTIONS BY SELECTED CHARACTERISTICS</t>
  </si>
  <si>
    <t>S0503</t>
  </si>
  <si>
    <t>SELECTED CHARACTERISTICS OF THE FOREIGN-BORN POPULATION BY REGION OF BIRTH:  EUROPE</t>
  </si>
  <si>
    <t>S0701</t>
  </si>
  <si>
    <t>GEOGRAPHIC MOBILITY BY SELECTED CHARACTERISTICS IN THE UNITED STATES</t>
  </si>
  <si>
    <t>S2405</t>
  </si>
  <si>
    <t>INDUSTRY BY OCCUPATION FOR THE CIVILIAN EMPLOYED POPULATION 16 YEARS AND OVER</t>
  </si>
  <si>
    <t>S2603</t>
  </si>
  <si>
    <t>CHARACTERISTICS OF THE GROUP QUARTERS POPULATION BY GROUP QUARTERS TYPE (5 TYPES)</t>
  </si>
  <si>
    <t>S2801</t>
  </si>
  <si>
    <t>TYPES OF COMPUTERS AND INTERNET SUBSCRIPTIONS</t>
  </si>
  <si>
    <t>S0504</t>
  </si>
  <si>
    <t>SELECTED CHARACTERISTICS OF THE FOREIGN-BORN POPULATION BY REGION OF BIRTH:  AFRICA, NORTHERN AMERICA, AND OCEANIA</t>
  </si>
  <si>
    <t>S0702</t>
  </si>
  <si>
    <t>MOVERS BETWEEN REGIONS</t>
  </si>
  <si>
    <t>S2408</t>
  </si>
  <si>
    <t>CLASS OF WORKER BY SEX  FOR THE CIVILIAN EMPLOYED POPULATION 16 YEARS AND OVER</t>
  </si>
  <si>
    <t>S0505</t>
  </si>
  <si>
    <t>SELECTED CHARACTERISTICS OF THE FOREIGN-BORN POPULATION BY REGION OF BIRTH:  ASIA</t>
  </si>
  <si>
    <t>S0901</t>
  </si>
  <si>
    <t>CHILDREN CHARACTERISTICS</t>
  </si>
  <si>
    <t>S2407</t>
  </si>
  <si>
    <t>INDUSTRY BY CLASS OF WORKER FOR THE CIVILIAN EMPLOYED POPULATION 16 YEARS AND OVER</t>
  </si>
  <si>
    <t>S0506</t>
  </si>
  <si>
    <t>SELECTED CHARACTERISTICS OF THE FOREIGN-BORN POPULATION BY REGION OF BIRTH:  LATIN AMERICA</t>
  </si>
  <si>
    <t>S0902</t>
  </si>
  <si>
    <t>CHARACTERISTICS OF TEENAGERS 15 TO 19 YEARS OLD</t>
  </si>
  <si>
    <t>S2409</t>
  </si>
  <si>
    <t>CLASS OF WORKER BY SEX  FOR THE FULL-TIME, YEAR-ROUND CIVILIAN EMPLOYED POPULATION 16 YEARS AND OVER</t>
  </si>
  <si>
    <t>S2002</t>
  </si>
  <si>
    <t>MEDIAN EARNINGS IN THE PAST 12 MONTHS (IN 2020 INFLATION-ADJUSTED DOLLARS) OF WORKERS BY SEX AND WOMEN'S EARNINGS AS A PERCENTAGE OF MEN'S EARNINGS BY SELECTED CHARACTERISTICS</t>
  </si>
  <si>
    <t>S2001</t>
  </si>
  <si>
    <t>EARNINGS IN THE PAST 12 MONTHS (IN 2020 INFLATION-ADJUSTED DOLLARS)</t>
  </si>
  <si>
    <t>S0101</t>
  </si>
  <si>
    <t>AGE AND SEX</t>
  </si>
  <si>
    <t>S2201</t>
  </si>
  <si>
    <t>FOOD STAMPS/SUPPLEMENTAL NUTRITION ASSISTANCE PROGRAM (SNAP)</t>
  </si>
  <si>
    <t>S0102</t>
  </si>
  <si>
    <t>POPULATION 60 YEARS AND OVER IN THE UNITED STATES</t>
  </si>
  <si>
    <t>S2402</t>
  </si>
  <si>
    <t>OCCUPATION BY SEX FOR THE FULL-TIME, YEAR-ROUND CIVILIAN EMPLOYED POPULATION 16 YEARS AND OVER</t>
  </si>
  <si>
    <t>S0103</t>
  </si>
  <si>
    <t>POPULATION 65 YEARS AND OVER IN THE UNITED STATES</t>
  </si>
  <si>
    <t>S2401</t>
  </si>
  <si>
    <t>OCCUPATION BY SEX FOR THE CIVILIAN EMPLOYED POPULATION 16 YEARS AND OVER</t>
  </si>
  <si>
    <t>S0601PR</t>
  </si>
  <si>
    <t>SELECTED CHARACTERISTICS OF THE TOTAL AND NATIVE POPULATIONS IN PUERTO RICO</t>
  </si>
  <si>
    <t>S2702PR</t>
  </si>
  <si>
    <t>SELECTED CHARACTERISTICS OF THE UNINSURED IN PUERTO RICO</t>
  </si>
  <si>
    <t>S0102PR</t>
  </si>
  <si>
    <t>POPULATION 60 YEARS AND OVER IN PUERTO RICO</t>
  </si>
  <si>
    <t>S1501</t>
  </si>
  <si>
    <t>EDUCATIONAL ATTAINMENT</t>
  </si>
  <si>
    <t>S1502</t>
  </si>
  <si>
    <t>FIELD OF BACHELOR'S DEGREE FOR FIRST MAJOR</t>
  </si>
  <si>
    <t>S1701</t>
  </si>
  <si>
    <t>POVERTY STATUS IN THE PAST 12 MONTHS</t>
  </si>
  <si>
    <t>S1702</t>
  </si>
  <si>
    <t>POVERTY STATUS IN THE PAST 12 MONTHS OF FAMILIES</t>
  </si>
  <si>
    <t>S1703</t>
  </si>
  <si>
    <t>SELECTED CHARACTERISTICS OF PEOPLE AT SPECIFIED LEVELS OF POVERTY IN THE PAST 12 MONTHS</t>
  </si>
  <si>
    <t>S1901</t>
  </si>
  <si>
    <t>INCOME IN THE PAST 12 MONTHS (IN 2020 INFLATION-ADJUSTED DOLLARS)</t>
  </si>
  <si>
    <t>S1902</t>
  </si>
  <si>
    <t>MEAN INCOME IN THE PAST 12 MONTHS (IN 2020 INFLATION-ADJUSTED DOLLARS)</t>
  </si>
  <si>
    <t>S2601A</t>
  </si>
  <si>
    <t>CHARACTERISTICS OF THE GROUP QUARTERS POPULATION IN THE UNITED STATES</t>
  </si>
  <si>
    <t>S1903</t>
  </si>
  <si>
    <t>MEDIAN INCOME IN THE PAST 12 MONTHS (IN 2020 INFLATION-ADJUSTED DOLLARS)</t>
  </si>
  <si>
    <t>S1101</t>
  </si>
  <si>
    <t>HOUSEHOLDS AND FAMILIES</t>
  </si>
  <si>
    <t>S2602PR</t>
  </si>
  <si>
    <t>S1301</t>
  </si>
  <si>
    <t>FERTILITY</t>
  </si>
  <si>
    <t>S2503</t>
  </si>
  <si>
    <t>FINANCIAL CHARACTERISTICS</t>
  </si>
  <si>
    <t>S2701</t>
  </si>
  <si>
    <t>SELECTED CHARACTERISTICS OF HEALTH INSURANCE COVERAGE IN THE UNITED STATES</t>
  </si>
  <si>
    <t>S1810</t>
  </si>
  <si>
    <t>DISABILITY CHARACTERISTICS</t>
  </si>
  <si>
    <t>S2502</t>
  </si>
  <si>
    <t>DEMOGRAPHIC CHARACTERISTICS FOR OCCUPIED HOUSING UNITS</t>
  </si>
  <si>
    <t>S0601</t>
  </si>
  <si>
    <t>SELECTED CHARACTERISTICS OF THE TOTAL AND NATIVE POPULATIONS IN THE UNITED STATES</t>
  </si>
  <si>
    <t>S1811</t>
  </si>
  <si>
    <t>SELECTED ECONOMIC CHARACTERISTICS FOR THE CIVILIAN NONINSTITUTIONALIZED POPULATION BY DISABILITY STATUS</t>
  </si>
  <si>
    <t>S2703</t>
  </si>
  <si>
    <t>PRIVATE HEALTH INSURANCE COVERAGE BY TYPE AND SELECTED CHARACTERISTICS</t>
  </si>
  <si>
    <t>S2504</t>
  </si>
  <si>
    <t>PHYSICAL HOUSING CHARACTERISTICS FOR OCCUPIED HOUSING UNITS</t>
  </si>
  <si>
    <t>S2702</t>
  </si>
  <si>
    <t>SELECTED CHARACTERISTICS OF THE UNINSURED IN THE UNITED STATES</t>
  </si>
  <si>
    <t>S0801</t>
  </si>
  <si>
    <t>COMMUTING CHARACTERISTICS BY SEX</t>
  </si>
  <si>
    <t>S2507</t>
  </si>
  <si>
    <t>FINANCIAL CHARACTERISTICS FOR HOUSING UNITS WITHOUT A MORTGAGE</t>
  </si>
  <si>
    <t>S0802</t>
  </si>
  <si>
    <t>MEANS OF TRANSPORTATION TO WORK BY SELECTED CHARACTERISTICS</t>
  </si>
  <si>
    <t>S2506</t>
  </si>
  <si>
    <t>FINANCIAL CHARACTERISTICS FOR HOUSING UNITS WITH A MORTGAGE</t>
  </si>
  <si>
    <t>S2704</t>
  </si>
  <si>
    <t>PUBLIC HEALTH INSURANCE COVERAGE BY TYPE AND SELECTED CHARACTERISTICS</t>
  </si>
  <si>
    <t>S2902</t>
  </si>
  <si>
    <t>CITIZEN, VOTING-AGE POPULATION BY SELECTED CHARACTERISTICS</t>
  </si>
  <si>
    <t>S0701PR</t>
  </si>
  <si>
    <t>GEOGRAPHIC MOBILITY BY SELECTED CHARACTERISTICS IN PUERTO RICO</t>
  </si>
  <si>
    <t>S0804</t>
  </si>
  <si>
    <t>MEANS OF TRANSPORTATION TO WORK BY SELECTED CHARACTERISTICS FOR WORKPLACE GEOGRAPHY</t>
  </si>
  <si>
    <t>S1251</t>
  </si>
  <si>
    <t>CHARACTERISTICS OF PEOPLE WITH A MARITAL EVENT IN THE LAST 12 MONTHS</t>
  </si>
  <si>
    <t>S2101</t>
  </si>
  <si>
    <t>VETERAN STATUS</t>
  </si>
  <si>
    <t>S2301</t>
  </si>
  <si>
    <t>EMPLOYMENT STATUS</t>
  </si>
  <si>
    <t>S2303</t>
  </si>
  <si>
    <t>WORK STATUS IN THE PAST 12 MONTHS</t>
  </si>
  <si>
    <t>S2501</t>
  </si>
  <si>
    <t>OCCUPANCY CHARACTERISTICS</t>
  </si>
  <si>
    <t>S2302</t>
  </si>
  <si>
    <t>EMPLOYMENT CHARACTERISTICS OF FAMILIES</t>
  </si>
  <si>
    <t>06</t>
  </si>
  <si>
    <t>04</t>
  </si>
  <si>
    <t>08</t>
  </si>
  <si>
    <t>02</t>
  </si>
  <si>
    <t>01</t>
  </si>
  <si>
    <t>05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</si>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</sst>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94645-38FC-4EC7-BD96-8553C6061CEF}">
  <dimension ref="A1:I327"/>
  <sheetViews>
    <sheetView workbookViewId="0">
      <selection activeCell="B5" sqref="B5"/>
    </sheetView>
  </sheetViews>
  <sheetFormatPr defaultRowHeight="14.5" x14ac:dyDescent="0.35"/>
  <cols>
    <col min="5" max="5" width="18.81640625" customWidth="1"/>
    <col min="7" max="7" width="16.7265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36</v>
      </c>
      <c r="B2">
        <v>51000</v>
      </c>
      <c r="C2" t="str">
        <f>CONCATENATE(A2,B2)</f>
        <v>3651000</v>
      </c>
      <c r="D2">
        <v>8379552</v>
      </c>
      <c r="E2" t="s">
        <v>292</v>
      </c>
      <c r="F2" t="s">
        <v>293</v>
      </c>
      <c r="G2" t="s">
        <v>292</v>
      </c>
      <c r="H2">
        <v>778165283</v>
      </c>
      <c r="I2">
        <v>445421632</v>
      </c>
    </row>
    <row r="3" spans="1:9" x14ac:dyDescent="0.35">
      <c r="A3" s="1" t="s">
        <v>581</v>
      </c>
      <c r="B3">
        <v>44000</v>
      </c>
      <c r="C3" t="str">
        <f t="shared" ref="C3:C66" si="0">CONCATENATE(A3,B3)</f>
        <v>0644000</v>
      </c>
      <c r="D3">
        <v>3973278</v>
      </c>
      <c r="E3" t="s">
        <v>196</v>
      </c>
      <c r="F3" t="s">
        <v>143</v>
      </c>
      <c r="G3" t="s">
        <v>144</v>
      </c>
      <c r="H3">
        <v>1215978552</v>
      </c>
      <c r="I3">
        <v>83031312</v>
      </c>
    </row>
    <row r="4" spans="1:9" x14ac:dyDescent="0.35">
      <c r="A4" s="1">
        <v>17</v>
      </c>
      <c r="B4">
        <v>14000</v>
      </c>
      <c r="C4" t="str">
        <f t="shared" si="0"/>
        <v>1714000</v>
      </c>
      <c r="D4">
        <v>2699347</v>
      </c>
      <c r="E4" t="s">
        <v>412</v>
      </c>
      <c r="F4" t="s">
        <v>166</v>
      </c>
      <c r="G4" t="s">
        <v>167</v>
      </c>
      <c r="H4">
        <v>589818463</v>
      </c>
      <c r="I4">
        <v>17621529</v>
      </c>
    </row>
    <row r="5" spans="1:9" x14ac:dyDescent="0.35">
      <c r="A5" s="1">
        <v>48</v>
      </c>
      <c r="B5">
        <v>35000</v>
      </c>
      <c r="C5" t="str">
        <f t="shared" si="0"/>
        <v>4835000</v>
      </c>
      <c r="D5">
        <v>2313238</v>
      </c>
      <c r="E5" t="s">
        <v>84</v>
      </c>
      <c r="F5" t="s">
        <v>13</v>
      </c>
      <c r="G5" t="s">
        <v>14</v>
      </c>
      <c r="H5">
        <v>1658742854</v>
      </c>
      <c r="I5">
        <v>80896867</v>
      </c>
    </row>
    <row r="6" spans="1:9" x14ac:dyDescent="0.35">
      <c r="A6" s="1" t="s">
        <v>582</v>
      </c>
      <c r="B6">
        <v>55000</v>
      </c>
      <c r="C6" t="str">
        <f t="shared" si="0"/>
        <v>0455000</v>
      </c>
      <c r="D6">
        <v>1658422</v>
      </c>
      <c r="E6" t="s">
        <v>354</v>
      </c>
      <c r="F6" t="s">
        <v>283</v>
      </c>
      <c r="G6" t="s">
        <v>284</v>
      </c>
      <c r="H6">
        <v>1341601620</v>
      </c>
      <c r="I6">
        <v>2925264</v>
      </c>
    </row>
    <row r="7" spans="1:9" x14ac:dyDescent="0.35">
      <c r="A7" s="1">
        <v>42</v>
      </c>
      <c r="B7">
        <v>60000</v>
      </c>
      <c r="C7" t="str">
        <f t="shared" si="0"/>
        <v>4260000</v>
      </c>
      <c r="D7">
        <v>1581531</v>
      </c>
      <c r="E7" t="s">
        <v>75</v>
      </c>
      <c r="F7" t="s">
        <v>22</v>
      </c>
      <c r="G7" t="s">
        <v>23</v>
      </c>
      <c r="H7">
        <v>347981634</v>
      </c>
      <c r="I7">
        <v>21606282</v>
      </c>
    </row>
    <row r="8" spans="1:9" x14ac:dyDescent="0.35">
      <c r="A8" s="1">
        <v>48</v>
      </c>
      <c r="B8">
        <v>65000</v>
      </c>
      <c r="C8" t="str">
        <f t="shared" si="0"/>
        <v>4865000</v>
      </c>
      <c r="D8">
        <v>1529133</v>
      </c>
      <c r="E8" t="s">
        <v>66</v>
      </c>
      <c r="F8" t="s">
        <v>13</v>
      </c>
      <c r="G8" t="s">
        <v>14</v>
      </c>
      <c r="H8">
        <v>1291999948</v>
      </c>
      <c r="I8">
        <v>14981842</v>
      </c>
    </row>
    <row r="9" spans="1:9" x14ac:dyDescent="0.35">
      <c r="A9" s="1" t="s">
        <v>581</v>
      </c>
      <c r="B9">
        <v>66000</v>
      </c>
      <c r="C9" t="str">
        <f t="shared" si="0"/>
        <v>0666000</v>
      </c>
      <c r="D9">
        <v>1414545</v>
      </c>
      <c r="E9" t="s">
        <v>343</v>
      </c>
      <c r="F9" t="s">
        <v>143</v>
      </c>
      <c r="G9" t="s">
        <v>144</v>
      </c>
      <c r="H9">
        <v>844036546</v>
      </c>
      <c r="I9">
        <v>120533495</v>
      </c>
    </row>
    <row r="10" spans="1:9" x14ac:dyDescent="0.35">
      <c r="A10" s="1">
        <v>48</v>
      </c>
      <c r="B10">
        <v>19000</v>
      </c>
      <c r="C10" t="str">
        <f t="shared" si="0"/>
        <v>4819000</v>
      </c>
      <c r="D10">
        <v>1338846</v>
      </c>
      <c r="E10" t="s">
        <v>46</v>
      </c>
      <c r="F10" t="s">
        <v>13</v>
      </c>
      <c r="G10" t="s">
        <v>14</v>
      </c>
      <c r="H10">
        <v>879510542</v>
      </c>
      <c r="I10">
        <v>113594304</v>
      </c>
    </row>
    <row r="11" spans="1:9" x14ac:dyDescent="0.35">
      <c r="A11" s="1" t="s">
        <v>581</v>
      </c>
      <c r="B11">
        <v>68000</v>
      </c>
      <c r="C11" t="str">
        <f t="shared" si="0"/>
        <v>0668000</v>
      </c>
      <c r="D11">
        <v>1029409</v>
      </c>
      <c r="E11" t="s">
        <v>345</v>
      </c>
      <c r="F11" t="s">
        <v>143</v>
      </c>
      <c r="G11" t="s">
        <v>144</v>
      </c>
      <c r="H11">
        <v>461691712</v>
      </c>
      <c r="I11">
        <v>8089813</v>
      </c>
    </row>
    <row r="12" spans="1:9" x14ac:dyDescent="0.35">
      <c r="A12" s="1">
        <v>48</v>
      </c>
      <c r="B12">
        <v>5000</v>
      </c>
      <c r="C12" t="str">
        <f t="shared" si="0"/>
        <v>485000</v>
      </c>
      <c r="D12">
        <v>965872</v>
      </c>
      <c r="E12" t="s">
        <v>124</v>
      </c>
      <c r="F12" t="s">
        <v>13</v>
      </c>
      <c r="G12" t="s">
        <v>14</v>
      </c>
      <c r="H12">
        <v>828633626</v>
      </c>
      <c r="I12">
        <v>17024681</v>
      </c>
    </row>
    <row r="13" spans="1:9" x14ac:dyDescent="0.35">
      <c r="A13" s="1">
        <v>12</v>
      </c>
      <c r="B13">
        <v>35000</v>
      </c>
      <c r="C13" t="str">
        <f t="shared" si="0"/>
        <v>1235000</v>
      </c>
      <c r="D13">
        <v>902488</v>
      </c>
      <c r="E13" t="s">
        <v>180</v>
      </c>
      <c r="F13" t="s">
        <v>129</v>
      </c>
      <c r="G13" t="s">
        <v>130</v>
      </c>
      <c r="H13">
        <v>1935461994</v>
      </c>
      <c r="I13">
        <v>329377429</v>
      </c>
    </row>
    <row r="14" spans="1:9" x14ac:dyDescent="0.35">
      <c r="A14" s="1">
        <v>48</v>
      </c>
      <c r="B14">
        <v>27000</v>
      </c>
      <c r="C14" t="str">
        <f t="shared" si="0"/>
        <v>4827000</v>
      </c>
      <c r="D14">
        <v>892221</v>
      </c>
      <c r="E14" t="s">
        <v>63</v>
      </c>
      <c r="F14" t="s">
        <v>13</v>
      </c>
      <c r="G14" t="s">
        <v>14</v>
      </c>
      <c r="H14">
        <v>899411086</v>
      </c>
      <c r="I14">
        <v>21449281</v>
      </c>
    </row>
    <row r="15" spans="1:9" x14ac:dyDescent="0.35">
      <c r="A15" s="1">
        <v>39</v>
      </c>
      <c r="B15">
        <v>18000</v>
      </c>
      <c r="C15" t="str">
        <f t="shared" si="0"/>
        <v>3918000</v>
      </c>
      <c r="D15">
        <v>889079</v>
      </c>
      <c r="E15" t="s">
        <v>217</v>
      </c>
      <c r="F15" t="s">
        <v>73</v>
      </c>
      <c r="G15" t="s">
        <v>74</v>
      </c>
      <c r="H15">
        <v>569892348</v>
      </c>
      <c r="I15">
        <v>15177415</v>
      </c>
    </row>
    <row r="16" spans="1:9" x14ac:dyDescent="0.35">
      <c r="A16" s="1" t="s">
        <v>581</v>
      </c>
      <c r="B16">
        <v>67000</v>
      </c>
      <c r="C16" t="str">
        <f t="shared" si="0"/>
        <v>0667000</v>
      </c>
      <c r="D16">
        <v>874784</v>
      </c>
      <c r="E16" t="s">
        <v>344</v>
      </c>
      <c r="F16" t="s">
        <v>143</v>
      </c>
      <c r="G16" t="s">
        <v>144</v>
      </c>
      <c r="H16">
        <v>121507089</v>
      </c>
      <c r="I16">
        <v>479146790</v>
      </c>
    </row>
    <row r="17" spans="1:9" x14ac:dyDescent="0.35">
      <c r="A17" s="1">
        <v>37</v>
      </c>
      <c r="B17">
        <v>12000</v>
      </c>
      <c r="C17" t="str">
        <f t="shared" si="0"/>
        <v>3712000</v>
      </c>
      <c r="D17">
        <v>873570</v>
      </c>
      <c r="E17" t="s">
        <v>336</v>
      </c>
      <c r="F17" t="s">
        <v>317</v>
      </c>
      <c r="G17" t="s">
        <v>318</v>
      </c>
      <c r="H17">
        <v>798454664</v>
      </c>
      <c r="I17">
        <v>5120142</v>
      </c>
    </row>
    <row r="18" spans="1:9" x14ac:dyDescent="0.35">
      <c r="A18" s="1">
        <v>18</v>
      </c>
      <c r="B18">
        <v>36003</v>
      </c>
      <c r="C18" t="str">
        <f t="shared" si="0"/>
        <v>1836003</v>
      </c>
      <c r="D18">
        <v>869387</v>
      </c>
      <c r="E18" t="s">
        <v>398</v>
      </c>
      <c r="F18" t="s">
        <v>184</v>
      </c>
      <c r="G18" t="s">
        <v>185</v>
      </c>
      <c r="H18">
        <v>936640759</v>
      </c>
      <c r="I18">
        <v>16304624</v>
      </c>
    </row>
    <row r="19" spans="1:9" x14ac:dyDescent="0.35">
      <c r="A19" s="1">
        <v>53</v>
      </c>
      <c r="B19">
        <v>63000</v>
      </c>
      <c r="C19" t="str">
        <f t="shared" si="0"/>
        <v>5363000</v>
      </c>
      <c r="D19">
        <v>741251</v>
      </c>
      <c r="E19" t="s">
        <v>99</v>
      </c>
      <c r="F19" t="s">
        <v>43</v>
      </c>
      <c r="G19" t="s">
        <v>44</v>
      </c>
      <c r="H19">
        <v>217119656</v>
      </c>
      <c r="I19">
        <v>150846139</v>
      </c>
    </row>
    <row r="20" spans="1:9" x14ac:dyDescent="0.35">
      <c r="A20" s="1" t="s">
        <v>583</v>
      </c>
      <c r="B20">
        <v>20000</v>
      </c>
      <c r="C20" t="str">
        <f t="shared" si="0"/>
        <v>0820000</v>
      </c>
      <c r="D20">
        <v>715878</v>
      </c>
      <c r="E20" t="s">
        <v>289</v>
      </c>
      <c r="F20" t="s">
        <v>243</v>
      </c>
      <c r="G20" t="s">
        <v>244</v>
      </c>
      <c r="H20">
        <v>396463432</v>
      </c>
      <c r="I20">
        <v>4275563</v>
      </c>
    </row>
    <row r="21" spans="1:9" x14ac:dyDescent="0.35">
      <c r="A21" s="1">
        <v>11</v>
      </c>
      <c r="B21">
        <v>50000</v>
      </c>
      <c r="C21" t="str">
        <f t="shared" si="0"/>
        <v>1150000</v>
      </c>
      <c r="D21">
        <v>701974</v>
      </c>
      <c r="E21" t="s">
        <v>44</v>
      </c>
      <c r="F21" t="s">
        <v>148</v>
      </c>
      <c r="G21" t="s">
        <v>149</v>
      </c>
      <c r="H21">
        <v>158316124</v>
      </c>
      <c r="I21">
        <v>18709762</v>
      </c>
    </row>
    <row r="22" spans="1:9" x14ac:dyDescent="0.35">
      <c r="A22" s="1">
        <v>25</v>
      </c>
      <c r="B22">
        <v>7000</v>
      </c>
      <c r="C22" t="str">
        <f t="shared" si="0"/>
        <v>257000</v>
      </c>
      <c r="D22">
        <v>689326</v>
      </c>
      <c r="E22" t="s">
        <v>204</v>
      </c>
      <c r="F22" t="s">
        <v>205</v>
      </c>
      <c r="G22" t="s">
        <v>206</v>
      </c>
      <c r="H22">
        <v>125201979</v>
      </c>
      <c r="I22">
        <v>106897277</v>
      </c>
    </row>
    <row r="23" spans="1:9" x14ac:dyDescent="0.35">
      <c r="A23" s="1">
        <v>48</v>
      </c>
      <c r="B23">
        <v>24000</v>
      </c>
      <c r="C23" t="str">
        <f t="shared" si="0"/>
        <v>4824000</v>
      </c>
      <c r="D23">
        <v>679879</v>
      </c>
      <c r="E23" t="s">
        <v>55</v>
      </c>
      <c r="F23" t="s">
        <v>13</v>
      </c>
      <c r="G23" t="s">
        <v>14</v>
      </c>
      <c r="H23">
        <v>669288012</v>
      </c>
      <c r="I23">
        <v>2118874</v>
      </c>
    </row>
    <row r="24" spans="1:9" x14ac:dyDescent="0.35">
      <c r="A24" s="1">
        <v>26</v>
      </c>
      <c r="B24">
        <v>22000</v>
      </c>
      <c r="C24" t="str">
        <f t="shared" si="0"/>
        <v>2622000</v>
      </c>
      <c r="D24">
        <v>672351</v>
      </c>
      <c r="E24" t="s">
        <v>209</v>
      </c>
      <c r="F24" t="s">
        <v>169</v>
      </c>
      <c r="G24" t="s">
        <v>170</v>
      </c>
      <c r="H24">
        <v>359311024</v>
      </c>
      <c r="I24">
        <v>10781269</v>
      </c>
    </row>
    <row r="25" spans="1:9" x14ac:dyDescent="0.35">
      <c r="A25" s="1">
        <v>47</v>
      </c>
      <c r="B25">
        <v>52006</v>
      </c>
      <c r="C25" t="str">
        <f t="shared" si="0"/>
        <v>4752006</v>
      </c>
      <c r="D25">
        <v>667070</v>
      </c>
      <c r="E25" t="s">
        <v>89</v>
      </c>
      <c r="F25" t="s">
        <v>59</v>
      </c>
      <c r="G25" t="s">
        <v>60</v>
      </c>
      <c r="H25">
        <v>1232275559</v>
      </c>
      <c r="I25">
        <v>56162658</v>
      </c>
    </row>
    <row r="26" spans="1:9" x14ac:dyDescent="0.35">
      <c r="A26" s="1">
        <v>47</v>
      </c>
      <c r="B26">
        <v>48000</v>
      </c>
      <c r="C26" t="str">
        <f t="shared" si="0"/>
        <v>4748000</v>
      </c>
      <c r="D26">
        <v>650910</v>
      </c>
      <c r="E26" t="s">
        <v>87</v>
      </c>
      <c r="F26" t="s">
        <v>59</v>
      </c>
      <c r="G26" t="s">
        <v>60</v>
      </c>
      <c r="H26">
        <v>769181598</v>
      </c>
      <c r="I26">
        <v>19787160</v>
      </c>
    </row>
    <row r="27" spans="1:9" x14ac:dyDescent="0.35">
      <c r="A27" s="1">
        <v>41</v>
      </c>
      <c r="B27">
        <v>59000</v>
      </c>
      <c r="C27" t="str">
        <f t="shared" si="0"/>
        <v>4159000</v>
      </c>
      <c r="D27">
        <v>650380</v>
      </c>
      <c r="E27" t="s">
        <v>119</v>
      </c>
      <c r="F27" t="s">
        <v>95</v>
      </c>
      <c r="G27" t="s">
        <v>96</v>
      </c>
      <c r="H27">
        <v>345633415</v>
      </c>
      <c r="I27">
        <v>29873529</v>
      </c>
    </row>
    <row r="28" spans="1:9" x14ac:dyDescent="0.35">
      <c r="A28" s="1">
        <v>40</v>
      </c>
      <c r="B28">
        <v>55000</v>
      </c>
      <c r="C28" t="str">
        <f t="shared" si="0"/>
        <v>4055000</v>
      </c>
      <c r="D28">
        <v>649821</v>
      </c>
      <c r="E28" t="s">
        <v>48</v>
      </c>
      <c r="F28" t="s">
        <v>35</v>
      </c>
      <c r="G28" t="s">
        <v>36</v>
      </c>
      <c r="H28">
        <v>1570037274</v>
      </c>
      <c r="I28">
        <v>37030056</v>
      </c>
    </row>
    <row r="29" spans="1:9" x14ac:dyDescent="0.35">
      <c r="A29" s="1">
        <v>32</v>
      </c>
      <c r="B29">
        <v>40000</v>
      </c>
      <c r="C29" t="str">
        <f t="shared" si="0"/>
        <v>3240000</v>
      </c>
      <c r="D29">
        <v>644594</v>
      </c>
      <c r="E29" t="s">
        <v>234</v>
      </c>
      <c r="F29" t="s">
        <v>231</v>
      </c>
      <c r="G29" t="s">
        <v>232</v>
      </c>
      <c r="H29">
        <v>367325845</v>
      </c>
      <c r="I29">
        <v>138524</v>
      </c>
    </row>
    <row r="30" spans="1:9" x14ac:dyDescent="0.35">
      <c r="A30" s="1">
        <v>21</v>
      </c>
      <c r="B30">
        <v>48006</v>
      </c>
      <c r="C30" t="str">
        <f t="shared" si="0"/>
        <v>2148006</v>
      </c>
      <c r="D30">
        <v>618733</v>
      </c>
      <c r="E30" t="s">
        <v>324</v>
      </c>
      <c r="F30" t="s">
        <v>322</v>
      </c>
      <c r="G30" t="s">
        <v>323</v>
      </c>
      <c r="H30">
        <v>682349258</v>
      </c>
      <c r="I30">
        <v>30257523</v>
      </c>
    </row>
    <row r="31" spans="1:9" x14ac:dyDescent="0.35">
      <c r="A31" s="1">
        <v>24</v>
      </c>
      <c r="B31">
        <v>4000</v>
      </c>
      <c r="C31" t="str">
        <f t="shared" si="0"/>
        <v>244000</v>
      </c>
      <c r="D31">
        <v>602274</v>
      </c>
      <c r="E31" t="s">
        <v>278</v>
      </c>
      <c r="F31" t="s">
        <v>279</v>
      </c>
      <c r="G31" t="s">
        <v>280</v>
      </c>
      <c r="H31">
        <v>209649327</v>
      </c>
      <c r="I31">
        <v>28758743</v>
      </c>
    </row>
    <row r="32" spans="1:9" x14ac:dyDescent="0.35">
      <c r="A32" s="1">
        <v>55</v>
      </c>
      <c r="B32">
        <v>53000</v>
      </c>
      <c r="C32" t="str">
        <f t="shared" si="0"/>
        <v>5553000</v>
      </c>
      <c r="D32">
        <v>592649</v>
      </c>
      <c r="E32" t="s">
        <v>123</v>
      </c>
      <c r="F32" t="s">
        <v>101</v>
      </c>
      <c r="G32" t="s">
        <v>102</v>
      </c>
      <c r="H32">
        <v>249116031</v>
      </c>
      <c r="I32">
        <v>1634047</v>
      </c>
    </row>
    <row r="33" spans="1:9" x14ac:dyDescent="0.35">
      <c r="A33" s="1">
        <v>35</v>
      </c>
      <c r="B33">
        <v>2000</v>
      </c>
      <c r="C33" t="str">
        <f t="shared" si="0"/>
        <v>352000</v>
      </c>
      <c r="D33">
        <v>560447</v>
      </c>
      <c r="E33" t="s">
        <v>223</v>
      </c>
      <c r="F33" t="s">
        <v>224</v>
      </c>
      <c r="G33" t="s">
        <v>225</v>
      </c>
      <c r="H33">
        <v>485027565</v>
      </c>
      <c r="I33">
        <v>4358221</v>
      </c>
    </row>
    <row r="34" spans="1:9" x14ac:dyDescent="0.35">
      <c r="A34" s="1" t="s">
        <v>582</v>
      </c>
      <c r="B34">
        <v>77000</v>
      </c>
      <c r="C34" t="str">
        <f t="shared" si="0"/>
        <v>0477000</v>
      </c>
      <c r="D34">
        <v>545340</v>
      </c>
      <c r="E34" t="s">
        <v>385</v>
      </c>
      <c r="F34" t="s">
        <v>283</v>
      </c>
      <c r="G34" t="s">
        <v>284</v>
      </c>
      <c r="H34">
        <v>624169229</v>
      </c>
      <c r="I34">
        <v>819368</v>
      </c>
    </row>
    <row r="35" spans="1:9" x14ac:dyDescent="0.35">
      <c r="A35" s="1" t="s">
        <v>581</v>
      </c>
      <c r="B35">
        <v>27000</v>
      </c>
      <c r="C35" t="str">
        <f t="shared" si="0"/>
        <v>0627000</v>
      </c>
      <c r="D35">
        <v>526147</v>
      </c>
      <c r="E35" t="s">
        <v>390</v>
      </c>
      <c r="F35" t="s">
        <v>143</v>
      </c>
      <c r="G35" t="s">
        <v>144</v>
      </c>
      <c r="H35">
        <v>298304405</v>
      </c>
      <c r="I35">
        <v>3127480</v>
      </c>
    </row>
    <row r="36" spans="1:9" x14ac:dyDescent="0.35">
      <c r="A36" s="1" t="s">
        <v>582</v>
      </c>
      <c r="B36">
        <v>46000</v>
      </c>
      <c r="C36" t="str">
        <f t="shared" si="0"/>
        <v>0446000</v>
      </c>
      <c r="D36">
        <v>508918</v>
      </c>
      <c r="E36" t="s">
        <v>334</v>
      </c>
      <c r="F36" t="s">
        <v>283</v>
      </c>
      <c r="G36" t="s">
        <v>284</v>
      </c>
      <c r="H36">
        <v>359242849</v>
      </c>
      <c r="I36">
        <v>1823290</v>
      </c>
    </row>
    <row r="37" spans="1:9" x14ac:dyDescent="0.35">
      <c r="A37" s="1" t="s">
        <v>581</v>
      </c>
      <c r="B37">
        <v>64000</v>
      </c>
      <c r="C37" t="str">
        <f t="shared" si="0"/>
        <v>0664000</v>
      </c>
      <c r="D37">
        <v>503482</v>
      </c>
      <c r="E37" t="s">
        <v>331</v>
      </c>
      <c r="F37" t="s">
        <v>143</v>
      </c>
      <c r="G37" t="s">
        <v>144</v>
      </c>
      <c r="H37">
        <v>255399993</v>
      </c>
      <c r="I37">
        <v>5413141</v>
      </c>
    </row>
    <row r="38" spans="1:9" x14ac:dyDescent="0.35">
      <c r="A38" s="1">
        <v>13</v>
      </c>
      <c r="B38">
        <v>4000</v>
      </c>
      <c r="C38" t="str">
        <f t="shared" si="0"/>
        <v>134000</v>
      </c>
      <c r="D38">
        <v>497642</v>
      </c>
      <c r="E38" t="s">
        <v>307</v>
      </c>
      <c r="F38" t="s">
        <v>163</v>
      </c>
      <c r="G38" t="s">
        <v>164</v>
      </c>
      <c r="H38">
        <v>350456124</v>
      </c>
      <c r="I38">
        <v>2585706</v>
      </c>
    </row>
    <row r="39" spans="1:9" x14ac:dyDescent="0.35">
      <c r="A39" s="1">
        <v>29</v>
      </c>
      <c r="B39">
        <v>38000</v>
      </c>
      <c r="C39" t="str">
        <f t="shared" si="0"/>
        <v>2938000</v>
      </c>
      <c r="D39">
        <v>491158</v>
      </c>
      <c r="E39" t="s">
        <v>189</v>
      </c>
      <c r="F39" t="s">
        <v>177</v>
      </c>
      <c r="G39" t="s">
        <v>178</v>
      </c>
      <c r="H39">
        <v>815061344</v>
      </c>
      <c r="I39">
        <v>10601365</v>
      </c>
    </row>
    <row r="40" spans="1:9" x14ac:dyDescent="0.35">
      <c r="A40" s="1">
        <v>31</v>
      </c>
      <c r="B40">
        <v>37000</v>
      </c>
      <c r="C40" t="str">
        <f t="shared" si="0"/>
        <v>3137000</v>
      </c>
      <c r="D40">
        <v>479529</v>
      </c>
      <c r="E40" t="s">
        <v>182</v>
      </c>
      <c r="F40" t="s">
        <v>133</v>
      </c>
      <c r="G40" t="s">
        <v>134</v>
      </c>
      <c r="H40">
        <v>366650762</v>
      </c>
      <c r="I40">
        <v>9368086</v>
      </c>
    </row>
    <row r="41" spans="1:9" x14ac:dyDescent="0.35">
      <c r="A41" s="1" t="s">
        <v>583</v>
      </c>
      <c r="B41">
        <v>16000</v>
      </c>
      <c r="C41" t="str">
        <f t="shared" si="0"/>
        <v>0816000</v>
      </c>
      <c r="D41">
        <v>471686</v>
      </c>
      <c r="E41" t="s">
        <v>271</v>
      </c>
      <c r="F41" t="s">
        <v>243</v>
      </c>
      <c r="G41" t="s">
        <v>244</v>
      </c>
      <c r="H41">
        <v>506082061</v>
      </c>
      <c r="I41">
        <v>937374</v>
      </c>
    </row>
    <row r="42" spans="1:9" x14ac:dyDescent="0.35">
      <c r="A42" s="1">
        <v>37</v>
      </c>
      <c r="B42">
        <v>55000</v>
      </c>
      <c r="C42" t="str">
        <f t="shared" si="0"/>
        <v>3755000</v>
      </c>
      <c r="D42">
        <v>469698</v>
      </c>
      <c r="E42" t="s">
        <v>355</v>
      </c>
      <c r="F42" t="s">
        <v>317</v>
      </c>
      <c r="G42" t="s">
        <v>318</v>
      </c>
      <c r="H42">
        <v>381028394</v>
      </c>
      <c r="I42">
        <v>2821590</v>
      </c>
    </row>
    <row r="43" spans="1:9" x14ac:dyDescent="0.35">
      <c r="A43" s="1" t="s">
        <v>581</v>
      </c>
      <c r="B43">
        <v>43000</v>
      </c>
      <c r="C43" t="str">
        <f t="shared" si="0"/>
        <v>0643000</v>
      </c>
      <c r="D43">
        <v>462081</v>
      </c>
      <c r="E43" t="s">
        <v>195</v>
      </c>
      <c r="F43" t="s">
        <v>143</v>
      </c>
      <c r="G43" t="s">
        <v>144</v>
      </c>
      <c r="H43">
        <v>131345808</v>
      </c>
      <c r="I43">
        <v>70260174</v>
      </c>
    </row>
    <row r="44" spans="1:9" x14ac:dyDescent="0.35">
      <c r="A44" s="1">
        <v>12</v>
      </c>
      <c r="B44">
        <v>45000</v>
      </c>
      <c r="C44" t="str">
        <f t="shared" si="0"/>
        <v>1245000</v>
      </c>
      <c r="D44">
        <v>461080</v>
      </c>
      <c r="E44" t="s">
        <v>200</v>
      </c>
      <c r="F44" t="s">
        <v>129</v>
      </c>
      <c r="G44" t="s">
        <v>130</v>
      </c>
      <c r="H44">
        <v>93228401</v>
      </c>
      <c r="I44">
        <v>52000009</v>
      </c>
    </row>
    <row r="45" spans="1:9" x14ac:dyDescent="0.35">
      <c r="A45" s="1">
        <v>51</v>
      </c>
      <c r="B45">
        <v>82000</v>
      </c>
      <c r="C45" t="str">
        <f t="shared" si="0"/>
        <v>5182000</v>
      </c>
      <c r="D45">
        <v>450882</v>
      </c>
      <c r="E45" t="s">
        <v>24</v>
      </c>
      <c r="F45" t="s">
        <v>10</v>
      </c>
      <c r="G45" t="s">
        <v>11</v>
      </c>
      <c r="H45">
        <v>633828628</v>
      </c>
      <c r="I45">
        <v>654687365</v>
      </c>
    </row>
    <row r="46" spans="1:9" x14ac:dyDescent="0.35">
      <c r="A46" s="1">
        <v>27</v>
      </c>
      <c r="B46">
        <v>43000</v>
      </c>
      <c r="C46" t="str">
        <f t="shared" si="0"/>
        <v>2743000</v>
      </c>
      <c r="D46">
        <v>424536</v>
      </c>
      <c r="E46" t="s">
        <v>399</v>
      </c>
      <c r="F46" t="s">
        <v>400</v>
      </c>
      <c r="G46" t="s">
        <v>401</v>
      </c>
      <c r="H46">
        <v>139858489</v>
      </c>
      <c r="I46">
        <v>9083548</v>
      </c>
    </row>
    <row r="47" spans="1:9" x14ac:dyDescent="0.35">
      <c r="A47" s="1" t="s">
        <v>581</v>
      </c>
      <c r="B47">
        <v>53000</v>
      </c>
      <c r="C47" t="str">
        <f t="shared" si="0"/>
        <v>0653000</v>
      </c>
      <c r="D47">
        <v>422575</v>
      </c>
      <c r="E47" t="s">
        <v>260</v>
      </c>
      <c r="F47" t="s">
        <v>143</v>
      </c>
      <c r="G47" t="s">
        <v>144</v>
      </c>
      <c r="H47">
        <v>144861286</v>
      </c>
      <c r="I47">
        <v>57244212</v>
      </c>
    </row>
    <row r="48" spans="1:9" x14ac:dyDescent="0.35">
      <c r="A48" s="1">
        <v>40</v>
      </c>
      <c r="B48">
        <v>75000</v>
      </c>
      <c r="C48" t="str">
        <f t="shared" si="0"/>
        <v>4075000</v>
      </c>
      <c r="D48">
        <v>402441</v>
      </c>
      <c r="E48" t="s">
        <v>67</v>
      </c>
      <c r="F48" t="s">
        <v>35</v>
      </c>
      <c r="G48" t="s">
        <v>36</v>
      </c>
      <c r="H48">
        <v>511608625</v>
      </c>
      <c r="I48">
        <v>10590510</v>
      </c>
    </row>
    <row r="49" spans="1:9" x14ac:dyDescent="0.35">
      <c r="A49" s="1">
        <v>48</v>
      </c>
      <c r="B49">
        <v>4000</v>
      </c>
      <c r="C49" t="str">
        <f t="shared" si="0"/>
        <v>484000</v>
      </c>
      <c r="D49">
        <v>397269</v>
      </c>
      <c r="E49" t="s">
        <v>68</v>
      </c>
      <c r="F49" t="s">
        <v>13</v>
      </c>
      <c r="G49" t="s">
        <v>14</v>
      </c>
      <c r="H49">
        <v>248289586</v>
      </c>
      <c r="I49">
        <v>9329197</v>
      </c>
    </row>
    <row r="50" spans="1:9" x14ac:dyDescent="0.35">
      <c r="A50" s="1">
        <v>12</v>
      </c>
      <c r="B50">
        <v>71000</v>
      </c>
      <c r="C50" t="str">
        <f t="shared" si="0"/>
        <v>1271000</v>
      </c>
      <c r="D50">
        <v>395912</v>
      </c>
      <c r="E50" t="s">
        <v>160</v>
      </c>
      <c r="F50" t="s">
        <v>129</v>
      </c>
      <c r="G50" t="s">
        <v>130</v>
      </c>
      <c r="H50">
        <v>295299064</v>
      </c>
      <c r="I50">
        <v>160101767</v>
      </c>
    </row>
    <row r="51" spans="1:9" x14ac:dyDescent="0.35">
      <c r="A51" s="1">
        <v>22</v>
      </c>
      <c r="B51">
        <v>55000</v>
      </c>
      <c r="C51" t="str">
        <f t="shared" si="0"/>
        <v>2255000</v>
      </c>
      <c r="D51">
        <v>391249</v>
      </c>
      <c r="E51" t="s">
        <v>212</v>
      </c>
      <c r="F51" t="s">
        <v>136</v>
      </c>
      <c r="G51" t="s">
        <v>137</v>
      </c>
      <c r="H51">
        <v>438975285</v>
      </c>
      <c r="I51">
        <v>467122070</v>
      </c>
    </row>
    <row r="52" spans="1:9" x14ac:dyDescent="0.35">
      <c r="A52" s="1">
        <v>20</v>
      </c>
      <c r="B52">
        <v>79000</v>
      </c>
      <c r="C52" t="str">
        <f t="shared" si="0"/>
        <v>2079000</v>
      </c>
      <c r="D52">
        <v>390566</v>
      </c>
      <c r="E52" t="s">
        <v>320</v>
      </c>
      <c r="F52" t="s">
        <v>296</v>
      </c>
      <c r="G52" t="s">
        <v>297</v>
      </c>
      <c r="H52">
        <v>419555510</v>
      </c>
      <c r="I52">
        <v>11737871</v>
      </c>
    </row>
    <row r="53" spans="1:9" x14ac:dyDescent="0.35">
      <c r="A53" s="1">
        <v>39</v>
      </c>
      <c r="B53">
        <v>16000</v>
      </c>
      <c r="C53" t="str">
        <f t="shared" si="0"/>
        <v>3916000</v>
      </c>
      <c r="D53">
        <v>383331</v>
      </c>
      <c r="E53" t="s">
        <v>216</v>
      </c>
      <c r="F53" t="s">
        <v>73</v>
      </c>
      <c r="G53" t="s">
        <v>74</v>
      </c>
      <c r="H53">
        <v>201334000</v>
      </c>
      <c r="I53">
        <v>12290112</v>
      </c>
    </row>
    <row r="54" spans="1:9" x14ac:dyDescent="0.35">
      <c r="A54" s="1" t="s">
        <v>581</v>
      </c>
      <c r="B54">
        <v>3526</v>
      </c>
      <c r="C54" t="str">
        <f t="shared" si="0"/>
        <v>063526</v>
      </c>
      <c r="D54">
        <v>379879</v>
      </c>
      <c r="E54" t="s">
        <v>238</v>
      </c>
      <c r="F54" t="s">
        <v>143</v>
      </c>
      <c r="G54" t="s">
        <v>144</v>
      </c>
      <c r="H54">
        <v>387916575</v>
      </c>
      <c r="I54">
        <v>3792006</v>
      </c>
    </row>
    <row r="55" spans="1:9" x14ac:dyDescent="0.35">
      <c r="A55" s="1" t="s">
        <v>583</v>
      </c>
      <c r="B55">
        <v>4000</v>
      </c>
      <c r="C55" t="str">
        <f t="shared" si="0"/>
        <v>084000</v>
      </c>
      <c r="D55">
        <v>379434</v>
      </c>
      <c r="E55" t="s">
        <v>245</v>
      </c>
      <c r="F55" t="s">
        <v>243</v>
      </c>
      <c r="G55" t="s">
        <v>244</v>
      </c>
      <c r="H55">
        <v>414734036</v>
      </c>
      <c r="I55">
        <v>1488882</v>
      </c>
    </row>
    <row r="56" spans="1:9" x14ac:dyDescent="0.35">
      <c r="A56" s="1" t="s">
        <v>581</v>
      </c>
      <c r="B56">
        <v>2000</v>
      </c>
      <c r="C56" t="str">
        <f t="shared" si="0"/>
        <v>062000</v>
      </c>
      <c r="D56">
        <v>353085</v>
      </c>
      <c r="E56" t="s">
        <v>218</v>
      </c>
      <c r="F56" t="s">
        <v>143</v>
      </c>
      <c r="G56" t="s">
        <v>144</v>
      </c>
      <c r="H56">
        <v>130206498</v>
      </c>
      <c r="I56">
        <v>1567025</v>
      </c>
    </row>
    <row r="57" spans="1:9" x14ac:dyDescent="0.35">
      <c r="A57" s="1">
        <v>15</v>
      </c>
      <c r="B57">
        <v>71550</v>
      </c>
      <c r="C57" t="str">
        <f t="shared" si="0"/>
        <v>1571550</v>
      </c>
      <c r="D57">
        <v>347181</v>
      </c>
      <c r="E57" t="s">
        <v>246</v>
      </c>
      <c r="F57" t="s">
        <v>247</v>
      </c>
      <c r="G57" t="s">
        <v>248</v>
      </c>
      <c r="H57">
        <v>156806994</v>
      </c>
      <c r="I57">
        <v>20487477</v>
      </c>
    </row>
    <row r="58" spans="1:9" x14ac:dyDescent="0.35">
      <c r="A58" s="1" t="s">
        <v>581</v>
      </c>
      <c r="B58">
        <v>69000</v>
      </c>
      <c r="C58" t="str">
        <f t="shared" si="0"/>
        <v>0669000</v>
      </c>
      <c r="D58">
        <v>332610</v>
      </c>
      <c r="E58" t="s">
        <v>347</v>
      </c>
      <c r="F58" t="s">
        <v>143</v>
      </c>
      <c r="G58" t="s">
        <v>144</v>
      </c>
      <c r="H58">
        <v>70807071</v>
      </c>
      <c r="I58">
        <v>79932</v>
      </c>
    </row>
    <row r="59" spans="1:9" x14ac:dyDescent="0.35">
      <c r="A59" s="1" t="s">
        <v>581</v>
      </c>
      <c r="B59">
        <v>62000</v>
      </c>
      <c r="C59" t="str">
        <f t="shared" si="0"/>
        <v>0662000</v>
      </c>
      <c r="D59">
        <v>327569</v>
      </c>
      <c r="E59" t="s">
        <v>329</v>
      </c>
      <c r="F59" t="s">
        <v>143</v>
      </c>
      <c r="G59" t="s">
        <v>144</v>
      </c>
      <c r="H59">
        <v>210387809</v>
      </c>
      <c r="I59">
        <v>803475</v>
      </c>
    </row>
    <row r="60" spans="1:9" x14ac:dyDescent="0.35">
      <c r="A60" s="1">
        <v>48</v>
      </c>
      <c r="B60">
        <v>17000</v>
      </c>
      <c r="C60" t="str">
        <f t="shared" si="0"/>
        <v>4817000</v>
      </c>
      <c r="D60">
        <v>326332</v>
      </c>
      <c r="E60" t="s">
        <v>45</v>
      </c>
      <c r="F60" t="s">
        <v>13</v>
      </c>
      <c r="G60" t="s">
        <v>14</v>
      </c>
      <c r="H60">
        <v>420016429</v>
      </c>
      <c r="I60">
        <v>849773923</v>
      </c>
    </row>
    <row r="61" spans="1:9" x14ac:dyDescent="0.35">
      <c r="A61" s="1">
        <v>21</v>
      </c>
      <c r="B61">
        <v>46027</v>
      </c>
      <c r="C61" t="str">
        <f t="shared" si="0"/>
        <v>2146027</v>
      </c>
      <c r="D61">
        <v>322200</v>
      </c>
      <c r="E61" t="s">
        <v>321</v>
      </c>
      <c r="F61" t="s">
        <v>322</v>
      </c>
      <c r="G61" t="s">
        <v>323</v>
      </c>
      <c r="H61">
        <v>734617508</v>
      </c>
      <c r="I61">
        <v>4920615</v>
      </c>
    </row>
    <row r="62" spans="1:9" x14ac:dyDescent="0.35">
      <c r="A62" s="1" t="s">
        <v>581</v>
      </c>
      <c r="B62">
        <v>75000</v>
      </c>
      <c r="C62" t="str">
        <f t="shared" si="0"/>
        <v>0675000</v>
      </c>
      <c r="D62">
        <v>311103</v>
      </c>
      <c r="E62" t="s">
        <v>379</v>
      </c>
      <c r="F62" t="s">
        <v>143</v>
      </c>
      <c r="G62" t="s">
        <v>144</v>
      </c>
      <c r="H62">
        <v>161115474</v>
      </c>
      <c r="I62">
        <v>7956195</v>
      </c>
    </row>
    <row r="63" spans="1:9" x14ac:dyDescent="0.35">
      <c r="A63" s="1">
        <v>32</v>
      </c>
      <c r="B63">
        <v>31900</v>
      </c>
      <c r="C63" t="str">
        <f t="shared" si="0"/>
        <v>3231900</v>
      </c>
      <c r="D63">
        <v>309955</v>
      </c>
      <c r="E63" t="s">
        <v>233</v>
      </c>
      <c r="F63" t="s">
        <v>231</v>
      </c>
      <c r="G63" t="s">
        <v>232</v>
      </c>
      <c r="H63">
        <v>275143250</v>
      </c>
      <c r="I63">
        <v>1272345</v>
      </c>
    </row>
    <row r="64" spans="1:9" x14ac:dyDescent="0.35">
      <c r="A64" s="1">
        <v>72</v>
      </c>
      <c r="B64">
        <v>76770</v>
      </c>
      <c r="C64" t="str">
        <f t="shared" si="0"/>
        <v>7276770</v>
      </c>
      <c r="D64">
        <v>307518</v>
      </c>
      <c r="E64" t="s">
        <v>109</v>
      </c>
      <c r="F64" t="s">
        <v>79</v>
      </c>
      <c r="G64" t="s">
        <v>80</v>
      </c>
      <c r="H64">
        <v>103118684</v>
      </c>
      <c r="I64">
        <v>17712407</v>
      </c>
    </row>
    <row r="65" spans="1:9" x14ac:dyDescent="0.35">
      <c r="A65" s="1">
        <v>27</v>
      </c>
      <c r="B65">
        <v>58000</v>
      </c>
      <c r="C65" t="str">
        <f t="shared" si="0"/>
        <v>2758000</v>
      </c>
      <c r="D65">
        <v>305877</v>
      </c>
      <c r="E65" t="s">
        <v>402</v>
      </c>
      <c r="F65" t="s">
        <v>400</v>
      </c>
      <c r="G65" t="s">
        <v>401</v>
      </c>
      <c r="H65">
        <v>134608370</v>
      </c>
      <c r="I65">
        <v>10701363</v>
      </c>
    </row>
    <row r="66" spans="1:9" x14ac:dyDescent="0.35">
      <c r="A66" s="1">
        <v>29</v>
      </c>
      <c r="B66">
        <v>65000</v>
      </c>
      <c r="C66" t="str">
        <f t="shared" si="0"/>
        <v>2965000</v>
      </c>
      <c r="D66">
        <v>304709</v>
      </c>
      <c r="E66" t="s">
        <v>197</v>
      </c>
      <c r="F66" t="s">
        <v>177</v>
      </c>
      <c r="G66" t="s">
        <v>178</v>
      </c>
      <c r="H66">
        <v>159895650</v>
      </c>
      <c r="I66">
        <v>11563208</v>
      </c>
    </row>
    <row r="67" spans="1:9" x14ac:dyDescent="0.35">
      <c r="A67" s="1">
        <v>39</v>
      </c>
      <c r="B67">
        <v>15000</v>
      </c>
      <c r="C67" t="str">
        <f t="shared" ref="C67:C130" si="1">CONCATENATE(A67,B67)</f>
        <v>3915000</v>
      </c>
      <c r="D67">
        <v>302687</v>
      </c>
      <c r="E67" t="s">
        <v>215</v>
      </c>
      <c r="F67" t="s">
        <v>73</v>
      </c>
      <c r="G67" t="s">
        <v>74</v>
      </c>
      <c r="H67">
        <v>201594254</v>
      </c>
      <c r="I67">
        <v>4434805</v>
      </c>
    </row>
    <row r="68" spans="1:9" x14ac:dyDescent="0.35">
      <c r="A68" s="1">
        <v>42</v>
      </c>
      <c r="B68">
        <v>61000</v>
      </c>
      <c r="C68" t="str">
        <f t="shared" si="1"/>
        <v>4261000</v>
      </c>
      <c r="D68">
        <v>301286</v>
      </c>
      <c r="E68" t="s">
        <v>76</v>
      </c>
      <c r="F68" t="s">
        <v>22</v>
      </c>
      <c r="G68" t="s">
        <v>23</v>
      </c>
      <c r="H68">
        <v>143421647</v>
      </c>
      <c r="I68">
        <v>7699005</v>
      </c>
    </row>
    <row r="69" spans="1:9" x14ac:dyDescent="0.35">
      <c r="A69" s="1">
        <v>37</v>
      </c>
      <c r="B69">
        <v>28000</v>
      </c>
      <c r="C69" t="str">
        <f t="shared" si="1"/>
        <v>3728000</v>
      </c>
      <c r="D69">
        <v>294395</v>
      </c>
      <c r="E69" t="s">
        <v>319</v>
      </c>
      <c r="F69" t="s">
        <v>317</v>
      </c>
      <c r="G69" t="s">
        <v>318</v>
      </c>
      <c r="H69">
        <v>335621779</v>
      </c>
      <c r="I69">
        <v>13561843</v>
      </c>
    </row>
    <row r="70" spans="1:9" x14ac:dyDescent="0.35">
      <c r="A70" s="1" t="s">
        <v>584</v>
      </c>
      <c r="B70">
        <v>3000</v>
      </c>
      <c r="C70" t="str">
        <f t="shared" si="1"/>
        <v>023000</v>
      </c>
      <c r="D70">
        <v>292090</v>
      </c>
      <c r="E70" t="s">
        <v>150</v>
      </c>
      <c r="F70" t="s">
        <v>151</v>
      </c>
      <c r="G70" t="s">
        <v>152</v>
      </c>
      <c r="H70">
        <v>4420591349</v>
      </c>
      <c r="I70">
        <v>621302197</v>
      </c>
    </row>
    <row r="71" spans="1:9" x14ac:dyDescent="0.35">
      <c r="A71" s="1">
        <v>48</v>
      </c>
      <c r="B71">
        <v>58016</v>
      </c>
      <c r="C71" t="str">
        <f t="shared" si="1"/>
        <v>4858016</v>
      </c>
      <c r="D71">
        <v>288870</v>
      </c>
      <c r="E71" t="s">
        <v>47</v>
      </c>
      <c r="F71" t="s">
        <v>13</v>
      </c>
      <c r="G71" t="s">
        <v>14</v>
      </c>
      <c r="H71">
        <v>185667954</v>
      </c>
      <c r="I71">
        <v>925056</v>
      </c>
    </row>
    <row r="72" spans="1:9" x14ac:dyDescent="0.35">
      <c r="A72" s="1">
        <v>31</v>
      </c>
      <c r="B72">
        <v>28000</v>
      </c>
      <c r="C72" t="str">
        <f t="shared" si="1"/>
        <v>3128000</v>
      </c>
      <c r="D72">
        <v>286388</v>
      </c>
      <c r="E72" t="s">
        <v>132</v>
      </c>
      <c r="F72" t="s">
        <v>133</v>
      </c>
      <c r="G72" t="s">
        <v>134</v>
      </c>
      <c r="H72">
        <v>253012683</v>
      </c>
      <c r="I72">
        <v>3524104</v>
      </c>
    </row>
    <row r="73" spans="1:9" x14ac:dyDescent="0.35">
      <c r="A73" s="1">
        <v>12</v>
      </c>
      <c r="B73">
        <v>53000</v>
      </c>
      <c r="C73" t="str">
        <f t="shared" si="1"/>
        <v>1253000</v>
      </c>
      <c r="D73">
        <v>284817</v>
      </c>
      <c r="E73" t="s">
        <v>227</v>
      </c>
      <c r="F73" t="s">
        <v>129</v>
      </c>
      <c r="G73" t="s">
        <v>130</v>
      </c>
      <c r="H73">
        <v>286511870</v>
      </c>
      <c r="I73">
        <v>21389601</v>
      </c>
    </row>
    <row r="74" spans="1:9" x14ac:dyDescent="0.35">
      <c r="A74" s="1">
        <v>34</v>
      </c>
      <c r="B74">
        <v>51000</v>
      </c>
      <c r="C74" t="str">
        <f t="shared" si="1"/>
        <v>3451000</v>
      </c>
      <c r="D74">
        <v>281917</v>
      </c>
      <c r="E74" t="s">
        <v>375</v>
      </c>
      <c r="F74" t="s">
        <v>372</v>
      </c>
      <c r="G74" t="s">
        <v>373</v>
      </c>
      <c r="H74">
        <v>62531386</v>
      </c>
      <c r="I74">
        <v>4509784</v>
      </c>
    </row>
    <row r="75" spans="1:9" x14ac:dyDescent="0.35">
      <c r="A75" s="1">
        <v>37</v>
      </c>
      <c r="B75">
        <v>19000</v>
      </c>
      <c r="C75" t="str">
        <f t="shared" si="1"/>
        <v>3719000</v>
      </c>
      <c r="D75">
        <v>276341</v>
      </c>
      <c r="E75" t="s">
        <v>316</v>
      </c>
      <c r="F75" t="s">
        <v>317</v>
      </c>
      <c r="G75" t="s">
        <v>318</v>
      </c>
      <c r="H75">
        <v>292126795</v>
      </c>
      <c r="I75">
        <v>2126517</v>
      </c>
    </row>
    <row r="76" spans="1:9" x14ac:dyDescent="0.35">
      <c r="A76" s="1">
        <v>39</v>
      </c>
      <c r="B76">
        <v>77000</v>
      </c>
      <c r="C76" t="str">
        <f t="shared" si="1"/>
        <v>3977000</v>
      </c>
      <c r="D76">
        <v>275116</v>
      </c>
      <c r="E76" t="s">
        <v>72</v>
      </c>
      <c r="F76" t="s">
        <v>73</v>
      </c>
      <c r="G76" t="s">
        <v>74</v>
      </c>
      <c r="H76">
        <v>208462505</v>
      </c>
      <c r="I76">
        <v>8657577</v>
      </c>
    </row>
    <row r="77" spans="1:9" x14ac:dyDescent="0.35">
      <c r="A77" s="1" t="s">
        <v>581</v>
      </c>
      <c r="B77">
        <v>36770</v>
      </c>
      <c r="C77" t="str">
        <f t="shared" si="1"/>
        <v>0636770</v>
      </c>
      <c r="D77">
        <v>272694</v>
      </c>
      <c r="E77" t="s">
        <v>146</v>
      </c>
      <c r="F77" t="s">
        <v>143</v>
      </c>
      <c r="G77" t="s">
        <v>144</v>
      </c>
      <c r="H77">
        <v>169930356</v>
      </c>
      <c r="I77">
        <v>802010</v>
      </c>
    </row>
    <row r="78" spans="1:9" x14ac:dyDescent="0.35">
      <c r="A78" s="1" t="s">
        <v>581</v>
      </c>
      <c r="B78">
        <v>13392</v>
      </c>
      <c r="C78" t="str">
        <f t="shared" si="1"/>
        <v>0613392</v>
      </c>
      <c r="D78">
        <v>268779</v>
      </c>
      <c r="E78" t="s">
        <v>298</v>
      </c>
      <c r="F78" t="s">
        <v>143</v>
      </c>
      <c r="G78" t="s">
        <v>144</v>
      </c>
      <c r="H78">
        <v>128560729</v>
      </c>
      <c r="I78">
        <v>6360807</v>
      </c>
    </row>
    <row r="79" spans="1:9" x14ac:dyDescent="0.35">
      <c r="A79" s="1">
        <v>18</v>
      </c>
      <c r="B79">
        <v>25000</v>
      </c>
      <c r="C79" t="str">
        <f t="shared" si="1"/>
        <v>1825000</v>
      </c>
      <c r="D79">
        <v>268378</v>
      </c>
      <c r="E79" t="s">
        <v>258</v>
      </c>
      <c r="F79" t="s">
        <v>184</v>
      </c>
      <c r="G79" t="s">
        <v>185</v>
      </c>
      <c r="H79">
        <v>286825203</v>
      </c>
      <c r="I79">
        <v>562614</v>
      </c>
    </row>
    <row r="80" spans="1:9" x14ac:dyDescent="0.35">
      <c r="A80" s="1">
        <v>12</v>
      </c>
      <c r="B80">
        <v>63000</v>
      </c>
      <c r="C80" t="str">
        <f t="shared" si="1"/>
        <v>1263000</v>
      </c>
      <c r="D80">
        <v>264001</v>
      </c>
      <c r="E80" t="s">
        <v>131</v>
      </c>
      <c r="F80" t="s">
        <v>129</v>
      </c>
      <c r="G80" t="s">
        <v>130</v>
      </c>
      <c r="H80">
        <v>160099582</v>
      </c>
      <c r="I80">
        <v>180057833</v>
      </c>
    </row>
    <row r="81" spans="1:9" x14ac:dyDescent="0.35">
      <c r="A81" s="1">
        <v>34</v>
      </c>
      <c r="B81">
        <v>36000</v>
      </c>
      <c r="C81" t="str">
        <f t="shared" si="1"/>
        <v>3436000</v>
      </c>
      <c r="D81">
        <v>262652</v>
      </c>
      <c r="E81" t="s">
        <v>374</v>
      </c>
      <c r="F81" t="s">
        <v>372</v>
      </c>
      <c r="G81" t="s">
        <v>373</v>
      </c>
      <c r="H81">
        <v>38185617</v>
      </c>
      <c r="I81">
        <v>16277947</v>
      </c>
    </row>
    <row r="82" spans="1:9" x14ac:dyDescent="0.35">
      <c r="A82" s="1">
        <v>48</v>
      </c>
      <c r="B82">
        <v>41464</v>
      </c>
      <c r="C82" t="str">
        <f t="shared" si="1"/>
        <v>4841464</v>
      </c>
      <c r="D82">
        <v>260571</v>
      </c>
      <c r="E82" t="s">
        <v>110</v>
      </c>
      <c r="F82" t="s">
        <v>13</v>
      </c>
      <c r="G82" t="s">
        <v>14</v>
      </c>
      <c r="H82">
        <v>275809864</v>
      </c>
      <c r="I82">
        <v>3804555</v>
      </c>
    </row>
    <row r="83" spans="1:9" x14ac:dyDescent="0.35">
      <c r="A83" s="1">
        <v>55</v>
      </c>
      <c r="B83">
        <v>48000</v>
      </c>
      <c r="C83" t="str">
        <f t="shared" si="1"/>
        <v>5548000</v>
      </c>
      <c r="D83">
        <v>258366</v>
      </c>
      <c r="E83" t="s">
        <v>114</v>
      </c>
      <c r="F83" t="s">
        <v>101</v>
      </c>
      <c r="G83" t="s">
        <v>102</v>
      </c>
      <c r="H83">
        <v>206086955</v>
      </c>
      <c r="I83">
        <v>55411136</v>
      </c>
    </row>
    <row r="84" spans="1:9" x14ac:dyDescent="0.35">
      <c r="A84" s="1" t="s">
        <v>582</v>
      </c>
      <c r="B84">
        <v>12000</v>
      </c>
      <c r="C84" t="str">
        <f t="shared" si="1"/>
        <v>0412000</v>
      </c>
      <c r="D84">
        <v>257076</v>
      </c>
      <c r="E84" t="s">
        <v>282</v>
      </c>
      <c r="F84" t="s">
        <v>283</v>
      </c>
      <c r="G84" t="s">
        <v>284</v>
      </c>
      <c r="H84">
        <v>169127740</v>
      </c>
      <c r="I84">
        <v>182489</v>
      </c>
    </row>
    <row r="85" spans="1:9" x14ac:dyDescent="0.35">
      <c r="A85" s="1">
        <v>48</v>
      </c>
      <c r="B85">
        <v>45000</v>
      </c>
      <c r="C85" t="str">
        <f t="shared" si="1"/>
        <v>4845000</v>
      </c>
      <c r="D85">
        <v>257013</v>
      </c>
      <c r="E85" t="s">
        <v>125</v>
      </c>
      <c r="F85" t="s">
        <v>13</v>
      </c>
      <c r="G85" t="s">
        <v>14</v>
      </c>
      <c r="H85">
        <v>348624230</v>
      </c>
      <c r="I85">
        <v>3221018</v>
      </c>
    </row>
    <row r="86" spans="1:9" x14ac:dyDescent="0.35">
      <c r="A86" s="1">
        <v>36</v>
      </c>
      <c r="B86">
        <v>11000</v>
      </c>
      <c r="C86" t="str">
        <f t="shared" si="1"/>
        <v>3611000</v>
      </c>
      <c r="D86">
        <v>255805</v>
      </c>
      <c r="E86" t="s">
        <v>313</v>
      </c>
      <c r="F86" t="s">
        <v>293</v>
      </c>
      <c r="G86" t="s">
        <v>292</v>
      </c>
      <c r="H86">
        <v>104577537</v>
      </c>
      <c r="I86">
        <v>31344742</v>
      </c>
    </row>
    <row r="87" spans="1:9" x14ac:dyDescent="0.35">
      <c r="A87" s="1" t="s">
        <v>582</v>
      </c>
      <c r="B87">
        <v>65000</v>
      </c>
      <c r="C87" t="str">
        <f t="shared" si="1"/>
        <v>0465000</v>
      </c>
      <c r="D87">
        <v>254995</v>
      </c>
      <c r="E87" t="s">
        <v>369</v>
      </c>
      <c r="F87" t="s">
        <v>283</v>
      </c>
      <c r="G87" t="s">
        <v>284</v>
      </c>
      <c r="H87">
        <v>476565025</v>
      </c>
      <c r="I87">
        <v>1136911</v>
      </c>
    </row>
    <row r="88" spans="1:9" x14ac:dyDescent="0.35">
      <c r="A88" s="1">
        <v>32</v>
      </c>
      <c r="B88">
        <v>60600</v>
      </c>
      <c r="C88" t="str">
        <f t="shared" si="1"/>
        <v>3260600</v>
      </c>
      <c r="D88">
        <v>250903</v>
      </c>
      <c r="E88" t="s">
        <v>253</v>
      </c>
      <c r="F88" t="s">
        <v>231</v>
      </c>
      <c r="G88" t="s">
        <v>232</v>
      </c>
      <c r="H88">
        <v>281716689</v>
      </c>
      <c r="I88">
        <v>7338575</v>
      </c>
    </row>
    <row r="89" spans="1:9" x14ac:dyDescent="0.35">
      <c r="A89" s="1" t="s">
        <v>582</v>
      </c>
      <c r="B89">
        <v>27820</v>
      </c>
      <c r="C89" t="str">
        <f t="shared" si="1"/>
        <v>0427820</v>
      </c>
      <c r="D89">
        <v>250290</v>
      </c>
      <c r="E89" t="s">
        <v>291</v>
      </c>
      <c r="F89" t="s">
        <v>283</v>
      </c>
      <c r="G89" t="s">
        <v>284</v>
      </c>
      <c r="H89">
        <v>159532413</v>
      </c>
      <c r="I89">
        <v>1036612</v>
      </c>
    </row>
    <row r="90" spans="1:9" x14ac:dyDescent="0.35">
      <c r="A90" s="1" t="s">
        <v>582</v>
      </c>
      <c r="B90">
        <v>27400</v>
      </c>
      <c r="C90" t="str">
        <f t="shared" si="1"/>
        <v>0427400</v>
      </c>
      <c r="D90">
        <v>248349</v>
      </c>
      <c r="E90" t="s">
        <v>290</v>
      </c>
      <c r="F90" t="s">
        <v>283</v>
      </c>
      <c r="G90" t="s">
        <v>284</v>
      </c>
      <c r="H90">
        <v>177593592</v>
      </c>
      <c r="I90">
        <v>525310</v>
      </c>
    </row>
    <row r="91" spans="1:9" x14ac:dyDescent="0.35">
      <c r="A91" s="1">
        <v>32</v>
      </c>
      <c r="B91">
        <v>51800</v>
      </c>
      <c r="C91" t="str">
        <f t="shared" si="1"/>
        <v>3251800</v>
      </c>
      <c r="D91">
        <v>247248</v>
      </c>
      <c r="E91" t="s">
        <v>235</v>
      </c>
      <c r="F91" t="s">
        <v>231</v>
      </c>
      <c r="G91" t="s">
        <v>232</v>
      </c>
      <c r="H91">
        <v>262323395</v>
      </c>
      <c r="I91">
        <v>112001</v>
      </c>
    </row>
    <row r="92" spans="1:9" x14ac:dyDescent="0.35">
      <c r="A92" s="1">
        <v>37</v>
      </c>
      <c r="B92">
        <v>75000</v>
      </c>
      <c r="C92" t="str">
        <f t="shared" si="1"/>
        <v>3775000</v>
      </c>
      <c r="D92">
        <v>245787</v>
      </c>
      <c r="E92" t="s">
        <v>357</v>
      </c>
      <c r="F92" t="s">
        <v>317</v>
      </c>
      <c r="G92" t="s">
        <v>318</v>
      </c>
      <c r="H92">
        <v>343633341</v>
      </c>
      <c r="I92">
        <v>3076096</v>
      </c>
    </row>
    <row r="93" spans="1:9" x14ac:dyDescent="0.35">
      <c r="A93" s="1">
        <v>51</v>
      </c>
      <c r="B93">
        <v>57000</v>
      </c>
      <c r="C93" t="str">
        <f t="shared" si="1"/>
        <v>5157000</v>
      </c>
      <c r="D93">
        <v>244300</v>
      </c>
      <c r="E93" t="s">
        <v>122</v>
      </c>
      <c r="F93" t="s">
        <v>10</v>
      </c>
      <c r="G93" t="s">
        <v>11</v>
      </c>
      <c r="H93">
        <v>137981431</v>
      </c>
      <c r="I93">
        <v>111701531</v>
      </c>
    </row>
    <row r="94" spans="1:9" x14ac:dyDescent="0.35">
      <c r="A94" s="1">
        <v>51</v>
      </c>
      <c r="B94">
        <v>16000</v>
      </c>
      <c r="C94" t="str">
        <f t="shared" si="1"/>
        <v>5116000</v>
      </c>
      <c r="D94">
        <v>242647</v>
      </c>
      <c r="E94" t="s">
        <v>77</v>
      </c>
      <c r="F94" t="s">
        <v>10</v>
      </c>
      <c r="G94" t="s">
        <v>11</v>
      </c>
      <c r="H94">
        <v>876598055</v>
      </c>
      <c r="I94">
        <v>32349712</v>
      </c>
    </row>
    <row r="95" spans="1:9" x14ac:dyDescent="0.35">
      <c r="A95" s="1">
        <v>48</v>
      </c>
      <c r="B95">
        <v>37000</v>
      </c>
      <c r="C95" t="str">
        <f t="shared" si="1"/>
        <v>4837000</v>
      </c>
      <c r="D95">
        <v>240475</v>
      </c>
      <c r="E95" t="s">
        <v>91</v>
      </c>
      <c r="F95" t="s">
        <v>13</v>
      </c>
      <c r="G95" t="s">
        <v>14</v>
      </c>
      <c r="H95">
        <v>173474996</v>
      </c>
      <c r="I95">
        <v>2569521</v>
      </c>
    </row>
    <row r="96" spans="1:9" x14ac:dyDescent="0.35">
      <c r="A96" s="1">
        <v>48</v>
      </c>
      <c r="B96">
        <v>29000</v>
      </c>
      <c r="C96" t="str">
        <f t="shared" si="1"/>
        <v>4829000</v>
      </c>
      <c r="D96">
        <v>238622</v>
      </c>
      <c r="E96" t="s">
        <v>70</v>
      </c>
      <c r="F96" t="s">
        <v>13</v>
      </c>
      <c r="G96" t="s">
        <v>14</v>
      </c>
      <c r="H96">
        <v>147972289</v>
      </c>
      <c r="I96">
        <v>313575</v>
      </c>
    </row>
    <row r="97" spans="1:9" x14ac:dyDescent="0.35">
      <c r="A97" s="1">
        <v>51</v>
      </c>
      <c r="B97">
        <v>3000</v>
      </c>
      <c r="C97" t="str">
        <f t="shared" si="1"/>
        <v>513000</v>
      </c>
      <c r="D97">
        <v>236434</v>
      </c>
      <c r="E97" t="s">
        <v>68</v>
      </c>
      <c r="F97" t="s">
        <v>10</v>
      </c>
      <c r="G97" t="s">
        <v>11</v>
      </c>
      <c r="H97">
        <v>67332990</v>
      </c>
      <c r="I97">
        <v>273562</v>
      </c>
    </row>
    <row r="98" spans="1:9" x14ac:dyDescent="0.35">
      <c r="A98" s="1" t="s">
        <v>581</v>
      </c>
      <c r="B98">
        <v>26000</v>
      </c>
      <c r="C98" t="str">
        <f t="shared" si="1"/>
        <v>0626000</v>
      </c>
      <c r="D98">
        <v>234829</v>
      </c>
      <c r="E98" t="s">
        <v>389</v>
      </c>
      <c r="F98" t="s">
        <v>143</v>
      </c>
      <c r="G98" t="s">
        <v>144</v>
      </c>
      <c r="H98">
        <v>202832449</v>
      </c>
      <c r="I98">
        <v>26274304</v>
      </c>
    </row>
    <row r="99" spans="1:9" x14ac:dyDescent="0.35">
      <c r="A99" s="1">
        <v>12</v>
      </c>
      <c r="B99">
        <v>30000</v>
      </c>
      <c r="C99" t="str">
        <f t="shared" si="1"/>
        <v>1230000</v>
      </c>
      <c r="D99">
        <v>233876</v>
      </c>
      <c r="E99" t="s">
        <v>156</v>
      </c>
      <c r="F99" t="s">
        <v>129</v>
      </c>
      <c r="G99" t="s">
        <v>130</v>
      </c>
      <c r="H99">
        <v>55895716</v>
      </c>
      <c r="I99">
        <v>3198603</v>
      </c>
    </row>
    <row r="100" spans="1:9" x14ac:dyDescent="0.35">
      <c r="A100" s="1">
        <v>51</v>
      </c>
      <c r="B100">
        <v>67000</v>
      </c>
      <c r="C100" t="str">
        <f t="shared" si="1"/>
        <v>5167000</v>
      </c>
      <c r="D100">
        <v>229233</v>
      </c>
      <c r="E100" t="s">
        <v>9</v>
      </c>
      <c r="F100" t="s">
        <v>10</v>
      </c>
      <c r="G100" t="s">
        <v>11</v>
      </c>
      <c r="H100">
        <v>155205067</v>
      </c>
      <c r="I100">
        <v>6849165</v>
      </c>
    </row>
    <row r="101" spans="1:9" x14ac:dyDescent="0.35">
      <c r="A101" s="1">
        <v>16</v>
      </c>
      <c r="B101">
        <v>8830</v>
      </c>
      <c r="C101" t="str">
        <f t="shared" si="1"/>
        <v>168830</v>
      </c>
      <c r="D101">
        <v>228057</v>
      </c>
      <c r="E101" t="s">
        <v>272</v>
      </c>
      <c r="F101" t="s">
        <v>273</v>
      </c>
      <c r="G101" t="s">
        <v>274</v>
      </c>
      <c r="H101">
        <v>217644900</v>
      </c>
      <c r="I101">
        <v>2500322</v>
      </c>
    </row>
    <row r="102" spans="1:9" x14ac:dyDescent="0.35">
      <c r="A102" s="1">
        <v>22</v>
      </c>
      <c r="B102">
        <v>5000</v>
      </c>
      <c r="C102" t="str">
        <f t="shared" si="1"/>
        <v>225000</v>
      </c>
      <c r="D102">
        <v>222191</v>
      </c>
      <c r="E102" t="s">
        <v>135</v>
      </c>
      <c r="F102" t="s">
        <v>136</v>
      </c>
      <c r="G102" t="s">
        <v>137</v>
      </c>
      <c r="H102">
        <v>223557844</v>
      </c>
      <c r="I102">
        <v>5708637</v>
      </c>
    </row>
    <row r="103" spans="1:9" x14ac:dyDescent="0.35">
      <c r="A103" s="1">
        <v>53</v>
      </c>
      <c r="B103">
        <v>67000</v>
      </c>
      <c r="C103" t="str">
        <f t="shared" si="1"/>
        <v>5367000</v>
      </c>
      <c r="D103">
        <v>219185</v>
      </c>
      <c r="E103" t="s">
        <v>107</v>
      </c>
      <c r="F103" t="s">
        <v>43</v>
      </c>
      <c r="G103" t="s">
        <v>44</v>
      </c>
      <c r="H103">
        <v>178086951</v>
      </c>
      <c r="I103">
        <v>1907185</v>
      </c>
    </row>
    <row r="104" spans="1:9" x14ac:dyDescent="0.35">
      <c r="A104" s="1">
        <v>32</v>
      </c>
      <c r="B104">
        <v>68585</v>
      </c>
      <c r="C104" t="str">
        <f t="shared" si="1"/>
        <v>3268585</v>
      </c>
      <c r="D104">
        <v>218697</v>
      </c>
      <c r="E104" t="s">
        <v>255</v>
      </c>
      <c r="F104" t="s">
        <v>231</v>
      </c>
      <c r="G104" t="s">
        <v>232</v>
      </c>
      <c r="H104">
        <v>91958229</v>
      </c>
      <c r="I104">
        <v>0</v>
      </c>
    </row>
    <row r="105" spans="1:9" x14ac:dyDescent="0.35">
      <c r="A105" s="1" t="s">
        <v>581</v>
      </c>
      <c r="B105">
        <v>65000</v>
      </c>
      <c r="C105" t="str">
        <f t="shared" si="1"/>
        <v>0665000</v>
      </c>
      <c r="D105">
        <v>216784</v>
      </c>
      <c r="E105" t="s">
        <v>341</v>
      </c>
      <c r="F105" t="s">
        <v>143</v>
      </c>
      <c r="G105" t="s">
        <v>144</v>
      </c>
      <c r="H105">
        <v>160920195</v>
      </c>
      <c r="I105">
        <v>853495</v>
      </c>
    </row>
    <row r="106" spans="1:9" x14ac:dyDescent="0.35">
      <c r="A106" s="1">
        <v>53</v>
      </c>
      <c r="B106">
        <v>70000</v>
      </c>
      <c r="C106" t="str">
        <f t="shared" si="1"/>
        <v>5370000</v>
      </c>
      <c r="D106">
        <v>215766</v>
      </c>
      <c r="E106" t="s">
        <v>108</v>
      </c>
      <c r="F106" t="s">
        <v>43</v>
      </c>
      <c r="G106" t="s">
        <v>44</v>
      </c>
      <c r="H106">
        <v>128759844</v>
      </c>
      <c r="I106">
        <v>32921338</v>
      </c>
    </row>
    <row r="107" spans="1:9" x14ac:dyDescent="0.35">
      <c r="A107" s="1">
        <v>19</v>
      </c>
      <c r="B107">
        <v>21000</v>
      </c>
      <c r="C107" t="str">
        <f t="shared" si="1"/>
        <v>1921000</v>
      </c>
      <c r="D107">
        <v>215408</v>
      </c>
      <c r="E107" t="s">
        <v>311</v>
      </c>
      <c r="F107" t="s">
        <v>276</v>
      </c>
      <c r="G107" t="s">
        <v>277</v>
      </c>
      <c r="H107">
        <v>228379268</v>
      </c>
      <c r="I107">
        <v>6387978</v>
      </c>
    </row>
    <row r="108" spans="1:9" x14ac:dyDescent="0.35">
      <c r="A108" s="1">
        <v>32</v>
      </c>
      <c r="B108">
        <v>23770</v>
      </c>
      <c r="C108" t="str">
        <f t="shared" si="1"/>
        <v>3223770</v>
      </c>
      <c r="D108">
        <v>214591</v>
      </c>
      <c r="E108" t="s">
        <v>230</v>
      </c>
      <c r="F108" t="s">
        <v>231</v>
      </c>
      <c r="G108" t="s">
        <v>232</v>
      </c>
      <c r="H108">
        <v>170937270</v>
      </c>
      <c r="I108">
        <v>0</v>
      </c>
    </row>
    <row r="109" spans="1:9" x14ac:dyDescent="0.35">
      <c r="A109" s="1" t="s">
        <v>581</v>
      </c>
      <c r="B109">
        <v>48354</v>
      </c>
      <c r="C109" t="str">
        <f t="shared" si="1"/>
        <v>0648354</v>
      </c>
      <c r="D109">
        <v>214485</v>
      </c>
      <c r="E109" t="s">
        <v>220</v>
      </c>
      <c r="F109" t="s">
        <v>143</v>
      </c>
      <c r="G109" t="s">
        <v>144</v>
      </c>
      <c r="H109">
        <v>111485793</v>
      </c>
      <c r="I109">
        <v>4740717</v>
      </c>
    </row>
    <row r="110" spans="1:9" x14ac:dyDescent="0.35">
      <c r="A110" s="1" t="s">
        <v>581</v>
      </c>
      <c r="B110">
        <v>24680</v>
      </c>
      <c r="C110" t="str">
        <f t="shared" si="1"/>
        <v>0624680</v>
      </c>
      <c r="D110">
        <v>212704</v>
      </c>
      <c r="E110" t="s">
        <v>378</v>
      </c>
      <c r="F110" t="s">
        <v>143</v>
      </c>
      <c r="G110" t="s">
        <v>144</v>
      </c>
      <c r="H110">
        <v>111552124</v>
      </c>
      <c r="I110">
        <v>0</v>
      </c>
    </row>
    <row r="111" spans="1:9" x14ac:dyDescent="0.35">
      <c r="A111" s="1" t="s">
        <v>581</v>
      </c>
      <c r="B111">
        <v>69088</v>
      </c>
      <c r="C111" t="str">
        <f t="shared" si="1"/>
        <v>0669088</v>
      </c>
      <c r="D111">
        <v>212519</v>
      </c>
      <c r="E111" t="s">
        <v>349</v>
      </c>
      <c r="F111" t="s">
        <v>143</v>
      </c>
      <c r="G111" t="s">
        <v>144</v>
      </c>
      <c r="H111">
        <v>183249692</v>
      </c>
      <c r="I111">
        <v>161052</v>
      </c>
    </row>
    <row r="112" spans="1:9" x14ac:dyDescent="0.35">
      <c r="A112" s="1">
        <v>37</v>
      </c>
      <c r="B112">
        <v>22920</v>
      </c>
      <c r="C112" t="str">
        <f t="shared" si="1"/>
        <v>3722920</v>
      </c>
      <c r="D112">
        <v>211201</v>
      </c>
      <c r="E112" t="s">
        <v>337</v>
      </c>
      <c r="F112" t="s">
        <v>317</v>
      </c>
      <c r="G112" t="s">
        <v>318</v>
      </c>
      <c r="H112">
        <v>383987188</v>
      </c>
      <c r="I112">
        <v>4734376</v>
      </c>
    </row>
    <row r="113" spans="1:9" x14ac:dyDescent="0.35">
      <c r="A113" s="1" t="s">
        <v>585</v>
      </c>
      <c r="B113">
        <v>7000</v>
      </c>
      <c r="C113" t="str">
        <f t="shared" si="1"/>
        <v>017000</v>
      </c>
      <c r="D113">
        <v>210928</v>
      </c>
      <c r="E113" t="s">
        <v>339</v>
      </c>
      <c r="F113" t="s">
        <v>139</v>
      </c>
      <c r="G113" t="s">
        <v>140</v>
      </c>
      <c r="H113">
        <v>380801025</v>
      </c>
      <c r="I113">
        <v>6532732</v>
      </c>
    </row>
    <row r="114" spans="1:9" x14ac:dyDescent="0.35">
      <c r="A114" s="1" t="s">
        <v>581</v>
      </c>
      <c r="B114">
        <v>49270</v>
      </c>
      <c r="C114" t="str">
        <f t="shared" si="1"/>
        <v>0649270</v>
      </c>
      <c r="D114">
        <v>208751</v>
      </c>
      <c r="E114" t="s">
        <v>221</v>
      </c>
      <c r="F114" t="s">
        <v>143</v>
      </c>
      <c r="G114" t="s">
        <v>144</v>
      </c>
      <c r="H114">
        <v>132936988</v>
      </c>
      <c r="I114">
        <v>547802</v>
      </c>
    </row>
    <row r="115" spans="1:9" x14ac:dyDescent="0.35">
      <c r="A115" s="1" t="s">
        <v>581</v>
      </c>
      <c r="B115">
        <v>54652</v>
      </c>
      <c r="C115" t="str">
        <f t="shared" si="1"/>
        <v>0654652</v>
      </c>
      <c r="D115">
        <v>207722</v>
      </c>
      <c r="E115" t="s">
        <v>264</v>
      </c>
      <c r="F115" t="s">
        <v>143</v>
      </c>
      <c r="G115" t="s">
        <v>144</v>
      </c>
      <c r="H115">
        <v>68707177</v>
      </c>
      <c r="I115">
        <v>32677585</v>
      </c>
    </row>
    <row r="116" spans="1:9" x14ac:dyDescent="0.35">
      <c r="A116" s="1">
        <v>36</v>
      </c>
      <c r="B116">
        <v>63000</v>
      </c>
      <c r="C116" t="str">
        <f t="shared" si="1"/>
        <v>3663000</v>
      </c>
      <c r="D116">
        <v>206357</v>
      </c>
      <c r="E116" t="s">
        <v>294</v>
      </c>
      <c r="F116" t="s">
        <v>293</v>
      </c>
      <c r="G116" t="s">
        <v>292</v>
      </c>
      <c r="H116">
        <v>92634700</v>
      </c>
      <c r="I116">
        <v>3640302</v>
      </c>
    </row>
    <row r="117" spans="1:9" x14ac:dyDescent="0.35">
      <c r="A117" s="1">
        <v>36</v>
      </c>
      <c r="B117">
        <v>84000</v>
      </c>
      <c r="C117" t="str">
        <f t="shared" si="1"/>
        <v>3684000</v>
      </c>
      <c r="D117">
        <v>200183</v>
      </c>
      <c r="E117" t="s">
        <v>315</v>
      </c>
      <c r="F117" t="s">
        <v>293</v>
      </c>
      <c r="G117" t="s">
        <v>292</v>
      </c>
      <c r="H117">
        <v>46634438</v>
      </c>
      <c r="I117">
        <v>5850607</v>
      </c>
    </row>
    <row r="118" spans="1:9" x14ac:dyDescent="0.35">
      <c r="A118" s="1">
        <v>49</v>
      </c>
      <c r="B118">
        <v>67000</v>
      </c>
      <c r="C118" t="str">
        <f t="shared" si="1"/>
        <v>4967000</v>
      </c>
      <c r="D118">
        <v>200133</v>
      </c>
      <c r="E118" t="s">
        <v>30</v>
      </c>
      <c r="F118" t="s">
        <v>28</v>
      </c>
      <c r="G118" t="s">
        <v>29</v>
      </c>
      <c r="H118">
        <v>285773665</v>
      </c>
      <c r="I118">
        <v>1216725</v>
      </c>
    </row>
    <row r="119" spans="1:9" x14ac:dyDescent="0.35">
      <c r="A119" s="1" t="s">
        <v>585</v>
      </c>
      <c r="B119">
        <v>37000</v>
      </c>
      <c r="C119" t="str">
        <f t="shared" si="1"/>
        <v>0137000</v>
      </c>
      <c r="D119">
        <v>199845</v>
      </c>
      <c r="E119" t="s">
        <v>403</v>
      </c>
      <c r="F119" t="s">
        <v>139</v>
      </c>
      <c r="G119" t="s">
        <v>140</v>
      </c>
      <c r="H119">
        <v>564925108</v>
      </c>
      <c r="I119">
        <v>3733769</v>
      </c>
    </row>
    <row r="120" spans="1:9" x14ac:dyDescent="0.35">
      <c r="A120" s="1" t="s">
        <v>581</v>
      </c>
      <c r="B120">
        <v>36000</v>
      </c>
      <c r="C120" t="str">
        <f t="shared" si="1"/>
        <v>0636000</v>
      </c>
      <c r="D120">
        <v>199778</v>
      </c>
      <c r="E120" t="s">
        <v>142</v>
      </c>
      <c r="F120" t="s">
        <v>143</v>
      </c>
      <c r="G120" t="s">
        <v>144</v>
      </c>
      <c r="H120">
        <v>69922374</v>
      </c>
      <c r="I120">
        <v>3455837</v>
      </c>
    </row>
    <row r="121" spans="1:9" x14ac:dyDescent="0.35">
      <c r="A121" s="1">
        <v>26</v>
      </c>
      <c r="B121">
        <v>34000</v>
      </c>
      <c r="C121" t="str">
        <f t="shared" si="1"/>
        <v>2634000</v>
      </c>
      <c r="D121">
        <v>199417</v>
      </c>
      <c r="E121" t="s">
        <v>222</v>
      </c>
      <c r="F121" t="s">
        <v>169</v>
      </c>
      <c r="G121" t="s">
        <v>170</v>
      </c>
      <c r="H121">
        <v>115968798</v>
      </c>
      <c r="I121">
        <v>2217914</v>
      </c>
    </row>
    <row r="122" spans="1:9" x14ac:dyDescent="0.35">
      <c r="A122" s="1" t="s">
        <v>581</v>
      </c>
      <c r="B122">
        <v>30000</v>
      </c>
      <c r="C122" t="str">
        <f t="shared" si="1"/>
        <v>0630000</v>
      </c>
      <c r="D122">
        <v>199357</v>
      </c>
      <c r="E122" t="s">
        <v>291</v>
      </c>
      <c r="F122" t="s">
        <v>143</v>
      </c>
      <c r="G122" t="s">
        <v>144</v>
      </c>
      <c r="H122">
        <v>78940374</v>
      </c>
      <c r="I122">
        <v>330542</v>
      </c>
    </row>
    <row r="123" spans="1:9" x14ac:dyDescent="0.35">
      <c r="A123" s="1">
        <v>17</v>
      </c>
      <c r="B123">
        <v>3012</v>
      </c>
      <c r="C123" t="str">
        <f t="shared" si="1"/>
        <v>173012</v>
      </c>
      <c r="D123">
        <v>199326</v>
      </c>
      <c r="E123" t="s">
        <v>245</v>
      </c>
      <c r="F123" t="s">
        <v>166</v>
      </c>
      <c r="G123" t="s">
        <v>167</v>
      </c>
      <c r="H123">
        <v>116608755</v>
      </c>
      <c r="I123">
        <v>2449319</v>
      </c>
    </row>
    <row r="124" spans="1:9" x14ac:dyDescent="0.35">
      <c r="A124" s="1">
        <v>48</v>
      </c>
      <c r="B124">
        <v>3000</v>
      </c>
      <c r="C124" t="str">
        <f t="shared" si="1"/>
        <v>483000</v>
      </c>
      <c r="D124">
        <v>199225</v>
      </c>
      <c r="E124" t="s">
        <v>117</v>
      </c>
      <c r="F124" t="s">
        <v>13</v>
      </c>
      <c r="G124" t="s">
        <v>14</v>
      </c>
      <c r="H124">
        <v>264965709</v>
      </c>
      <c r="I124">
        <v>4029011</v>
      </c>
    </row>
    <row r="125" spans="1:9" x14ac:dyDescent="0.35">
      <c r="A125" s="1" t="s">
        <v>585</v>
      </c>
      <c r="B125">
        <v>51000</v>
      </c>
      <c r="C125" t="str">
        <f t="shared" si="1"/>
        <v>0151000</v>
      </c>
      <c r="D125">
        <v>199054</v>
      </c>
      <c r="E125" t="s">
        <v>141</v>
      </c>
      <c r="F125" t="s">
        <v>139</v>
      </c>
      <c r="G125" t="s">
        <v>140</v>
      </c>
      <c r="H125">
        <v>414027223</v>
      </c>
      <c r="I125">
        <v>6249598</v>
      </c>
    </row>
    <row r="126" spans="1:9" x14ac:dyDescent="0.35">
      <c r="A126" s="1">
        <v>32</v>
      </c>
      <c r="B126">
        <v>71400</v>
      </c>
      <c r="C126" t="str">
        <f t="shared" si="1"/>
        <v>3271400</v>
      </c>
      <c r="D126">
        <v>198187</v>
      </c>
      <c r="E126" t="s">
        <v>256</v>
      </c>
      <c r="F126" t="s">
        <v>231</v>
      </c>
      <c r="G126" t="s">
        <v>232</v>
      </c>
      <c r="H126">
        <v>87316092</v>
      </c>
      <c r="I126">
        <v>0</v>
      </c>
    </row>
    <row r="127" spans="1:9" x14ac:dyDescent="0.35">
      <c r="A127" s="1" t="s">
        <v>586</v>
      </c>
      <c r="B127">
        <v>41000</v>
      </c>
      <c r="C127" t="str">
        <f t="shared" si="1"/>
        <v>0541000</v>
      </c>
      <c r="D127">
        <v>198067</v>
      </c>
      <c r="E127" t="s">
        <v>266</v>
      </c>
      <c r="F127" t="s">
        <v>267</v>
      </c>
      <c r="G127" t="s">
        <v>268</v>
      </c>
      <c r="H127">
        <v>310916999</v>
      </c>
      <c r="I127">
        <v>7661294</v>
      </c>
    </row>
    <row r="128" spans="1:9" x14ac:dyDescent="0.35">
      <c r="A128" s="1">
        <v>13</v>
      </c>
      <c r="B128">
        <v>4204</v>
      </c>
      <c r="C128" t="str">
        <f t="shared" si="1"/>
        <v>134204</v>
      </c>
      <c r="D128">
        <v>197535</v>
      </c>
      <c r="E128" t="s">
        <v>308</v>
      </c>
      <c r="F128" t="s">
        <v>163</v>
      </c>
      <c r="G128" t="s">
        <v>164</v>
      </c>
      <c r="H128">
        <v>782907232</v>
      </c>
      <c r="I128">
        <v>10801420</v>
      </c>
    </row>
    <row r="129" spans="1:9" x14ac:dyDescent="0.35">
      <c r="A129" s="1">
        <v>39</v>
      </c>
      <c r="B129">
        <v>1000</v>
      </c>
      <c r="C129" t="str">
        <f t="shared" si="1"/>
        <v>391000</v>
      </c>
      <c r="D129">
        <v>197375</v>
      </c>
      <c r="E129" t="s">
        <v>214</v>
      </c>
      <c r="F129" t="s">
        <v>73</v>
      </c>
      <c r="G129" t="s">
        <v>74</v>
      </c>
      <c r="H129">
        <v>160405166</v>
      </c>
      <c r="I129">
        <v>884027</v>
      </c>
    </row>
    <row r="130" spans="1:9" x14ac:dyDescent="0.35">
      <c r="A130" s="1">
        <v>12</v>
      </c>
      <c r="B130">
        <v>58715</v>
      </c>
      <c r="C130" t="str">
        <f t="shared" si="1"/>
        <v>1258715</v>
      </c>
      <c r="D130">
        <v>195773</v>
      </c>
      <c r="E130" t="s">
        <v>251</v>
      </c>
      <c r="F130" t="s">
        <v>129</v>
      </c>
      <c r="G130" t="s">
        <v>130</v>
      </c>
      <c r="H130">
        <v>308768074</v>
      </c>
      <c r="I130">
        <v>4169079</v>
      </c>
    </row>
    <row r="131" spans="1:9" x14ac:dyDescent="0.35">
      <c r="A131" s="1">
        <v>13</v>
      </c>
      <c r="B131">
        <v>19000</v>
      </c>
      <c r="C131" t="str">
        <f t="shared" ref="C131:C194" si="2">CONCATENATE(A131,B131)</f>
        <v>1319000</v>
      </c>
      <c r="D131">
        <v>195418</v>
      </c>
      <c r="E131" t="s">
        <v>217</v>
      </c>
      <c r="F131" t="s">
        <v>163</v>
      </c>
      <c r="G131" t="s">
        <v>164</v>
      </c>
      <c r="H131">
        <v>560718761</v>
      </c>
      <c r="I131">
        <v>11696847</v>
      </c>
    </row>
    <row r="132" spans="1:9" x14ac:dyDescent="0.35">
      <c r="A132" s="1">
        <v>48</v>
      </c>
      <c r="B132">
        <v>30464</v>
      </c>
      <c r="C132" t="str">
        <f t="shared" si="2"/>
        <v>4830464</v>
      </c>
      <c r="D132">
        <v>193835</v>
      </c>
      <c r="E132" t="s">
        <v>71</v>
      </c>
      <c r="F132" t="s">
        <v>13</v>
      </c>
      <c r="G132" t="s">
        <v>14</v>
      </c>
      <c r="H132">
        <v>187947276</v>
      </c>
      <c r="I132">
        <v>23047015</v>
      </c>
    </row>
    <row r="133" spans="1:9" x14ac:dyDescent="0.35">
      <c r="A133" s="1">
        <v>20</v>
      </c>
      <c r="B133">
        <v>53775</v>
      </c>
      <c r="C133" t="str">
        <f t="shared" si="2"/>
        <v>2053775</v>
      </c>
      <c r="D133">
        <v>193412</v>
      </c>
      <c r="E133" t="s">
        <v>388</v>
      </c>
      <c r="F133" t="s">
        <v>296</v>
      </c>
      <c r="G133" t="s">
        <v>297</v>
      </c>
      <c r="H133">
        <v>194723407</v>
      </c>
      <c r="I133">
        <v>1187552</v>
      </c>
    </row>
    <row r="134" spans="1:9" x14ac:dyDescent="0.35">
      <c r="A134" s="1">
        <v>32</v>
      </c>
      <c r="B134">
        <v>54600</v>
      </c>
      <c r="C134" t="str">
        <f t="shared" si="2"/>
        <v>3254600</v>
      </c>
      <c r="D134">
        <v>193150</v>
      </c>
      <c r="E134" t="s">
        <v>252</v>
      </c>
      <c r="F134" t="s">
        <v>231</v>
      </c>
      <c r="G134" t="s">
        <v>232</v>
      </c>
      <c r="H134">
        <v>109826212</v>
      </c>
      <c r="I134">
        <v>0</v>
      </c>
    </row>
    <row r="135" spans="1:9" x14ac:dyDescent="0.35">
      <c r="A135" s="1">
        <v>12</v>
      </c>
      <c r="B135">
        <v>70600</v>
      </c>
      <c r="C135" t="str">
        <f t="shared" si="2"/>
        <v>1270600</v>
      </c>
      <c r="D135">
        <v>192885</v>
      </c>
      <c r="E135" t="s">
        <v>159</v>
      </c>
      <c r="F135" t="s">
        <v>129</v>
      </c>
      <c r="G135" t="s">
        <v>130</v>
      </c>
      <c r="H135">
        <v>261413829</v>
      </c>
      <c r="I135">
        <v>7378780</v>
      </c>
    </row>
    <row r="136" spans="1:9" x14ac:dyDescent="0.35">
      <c r="A136" s="1" t="s">
        <v>582</v>
      </c>
      <c r="B136">
        <v>73000</v>
      </c>
      <c r="C136" t="str">
        <f t="shared" si="2"/>
        <v>0473000</v>
      </c>
      <c r="D136">
        <v>191607</v>
      </c>
      <c r="E136" t="s">
        <v>384</v>
      </c>
      <c r="F136" t="s">
        <v>283</v>
      </c>
      <c r="G136" t="s">
        <v>284</v>
      </c>
      <c r="H136">
        <v>103448358</v>
      </c>
      <c r="I136">
        <v>559775</v>
      </c>
    </row>
    <row r="137" spans="1:9" x14ac:dyDescent="0.35">
      <c r="A137" s="1">
        <v>48</v>
      </c>
      <c r="B137">
        <v>45744</v>
      </c>
      <c r="C137" t="str">
        <f t="shared" si="2"/>
        <v>4845744</v>
      </c>
      <c r="D137">
        <v>191197</v>
      </c>
      <c r="E137" t="s">
        <v>127</v>
      </c>
      <c r="F137" t="s">
        <v>13</v>
      </c>
      <c r="G137" t="s">
        <v>14</v>
      </c>
      <c r="H137">
        <v>173432672</v>
      </c>
      <c r="I137">
        <v>1913202</v>
      </c>
    </row>
    <row r="138" spans="1:9" x14ac:dyDescent="0.35">
      <c r="A138" s="1" t="s">
        <v>585</v>
      </c>
      <c r="B138">
        <v>50000</v>
      </c>
      <c r="C138" t="str">
        <f t="shared" si="2"/>
        <v>0150000</v>
      </c>
      <c r="D138">
        <v>189994</v>
      </c>
      <c r="E138" t="s">
        <v>138</v>
      </c>
      <c r="F138" t="s">
        <v>139</v>
      </c>
      <c r="G138" t="s">
        <v>140</v>
      </c>
      <c r="H138">
        <v>361255557</v>
      </c>
      <c r="I138">
        <v>105135405</v>
      </c>
    </row>
    <row r="139" spans="1:9" x14ac:dyDescent="0.35">
      <c r="A139" s="1">
        <v>22</v>
      </c>
      <c r="B139">
        <v>70000</v>
      </c>
      <c r="C139" t="str">
        <f t="shared" si="2"/>
        <v>2270000</v>
      </c>
      <c r="D139">
        <v>189890</v>
      </c>
      <c r="E139" t="s">
        <v>236</v>
      </c>
      <c r="F139" t="s">
        <v>136</v>
      </c>
      <c r="G139" t="s">
        <v>137</v>
      </c>
      <c r="H139">
        <v>279195930</v>
      </c>
      <c r="I139">
        <v>40270180</v>
      </c>
    </row>
    <row r="140" spans="1:9" x14ac:dyDescent="0.35">
      <c r="A140" s="1">
        <v>12</v>
      </c>
      <c r="B140">
        <v>10275</v>
      </c>
      <c r="C140" t="str">
        <f t="shared" si="2"/>
        <v>1210275</v>
      </c>
      <c r="D140">
        <v>189633</v>
      </c>
      <c r="E140" t="s">
        <v>198</v>
      </c>
      <c r="F140" t="s">
        <v>129</v>
      </c>
      <c r="G140" t="s">
        <v>130</v>
      </c>
      <c r="H140">
        <v>274599866</v>
      </c>
      <c r="I140">
        <v>34645780</v>
      </c>
    </row>
    <row r="141" spans="1:9" x14ac:dyDescent="0.35">
      <c r="A141" s="1">
        <v>48</v>
      </c>
      <c r="B141">
        <v>27684</v>
      </c>
      <c r="C141" t="str">
        <f t="shared" si="2"/>
        <v>4827684</v>
      </c>
      <c r="D141">
        <v>188387</v>
      </c>
      <c r="E141" t="s">
        <v>64</v>
      </c>
      <c r="F141" t="s">
        <v>13</v>
      </c>
      <c r="G141" t="s">
        <v>14</v>
      </c>
      <c r="H141">
        <v>177772065</v>
      </c>
      <c r="I141">
        <v>1437988</v>
      </c>
    </row>
    <row r="142" spans="1:9" x14ac:dyDescent="0.35">
      <c r="A142" s="1">
        <v>47</v>
      </c>
      <c r="B142">
        <v>40000</v>
      </c>
      <c r="C142" t="str">
        <f t="shared" si="2"/>
        <v>4740000</v>
      </c>
      <c r="D142">
        <v>187487</v>
      </c>
      <c r="E142" t="s">
        <v>83</v>
      </c>
      <c r="F142" t="s">
        <v>59</v>
      </c>
      <c r="G142" t="s">
        <v>60</v>
      </c>
      <c r="H142">
        <v>255688158</v>
      </c>
      <c r="I142">
        <v>14322125</v>
      </c>
    </row>
    <row r="143" spans="1:9" x14ac:dyDescent="0.35">
      <c r="A143" s="1">
        <v>25</v>
      </c>
      <c r="B143">
        <v>82000</v>
      </c>
      <c r="C143" t="str">
        <f t="shared" si="2"/>
        <v>2582000</v>
      </c>
      <c r="D143">
        <v>185186</v>
      </c>
      <c r="E143" t="s">
        <v>213</v>
      </c>
      <c r="F143" t="s">
        <v>205</v>
      </c>
      <c r="G143" t="s">
        <v>206</v>
      </c>
      <c r="H143">
        <v>96765976</v>
      </c>
      <c r="I143">
        <v>2809034</v>
      </c>
    </row>
    <row r="144" spans="1:9" x14ac:dyDescent="0.35">
      <c r="A144" s="1">
        <v>53</v>
      </c>
      <c r="B144">
        <v>74060</v>
      </c>
      <c r="C144" t="str">
        <f t="shared" si="2"/>
        <v>5374060</v>
      </c>
      <c r="D144">
        <v>182792</v>
      </c>
      <c r="E144" t="s">
        <v>113</v>
      </c>
      <c r="F144" t="s">
        <v>43</v>
      </c>
      <c r="G144" t="s">
        <v>44</v>
      </c>
      <c r="H144">
        <v>126231351</v>
      </c>
      <c r="I144">
        <v>9593982</v>
      </c>
    </row>
    <row r="145" spans="1:9" x14ac:dyDescent="0.35">
      <c r="A145" s="1">
        <v>48</v>
      </c>
      <c r="B145">
        <v>10768</v>
      </c>
      <c r="C145" t="str">
        <f t="shared" si="2"/>
        <v>4810768</v>
      </c>
      <c r="D145">
        <v>182230</v>
      </c>
      <c r="E145" t="s">
        <v>20</v>
      </c>
      <c r="F145" t="s">
        <v>13</v>
      </c>
      <c r="G145" t="s">
        <v>14</v>
      </c>
      <c r="H145">
        <v>340653330</v>
      </c>
      <c r="I145">
        <v>35368996</v>
      </c>
    </row>
    <row r="146" spans="1:9" x14ac:dyDescent="0.35">
      <c r="A146" s="1">
        <v>12</v>
      </c>
      <c r="B146">
        <v>24000</v>
      </c>
      <c r="C146" t="str">
        <f t="shared" si="2"/>
        <v>1224000</v>
      </c>
      <c r="D146">
        <v>181818</v>
      </c>
      <c r="E146" t="s">
        <v>226</v>
      </c>
      <c r="F146" t="s">
        <v>129</v>
      </c>
      <c r="G146" t="s">
        <v>130</v>
      </c>
      <c r="H146">
        <v>89578884</v>
      </c>
      <c r="I146">
        <v>4435586</v>
      </c>
    </row>
    <row r="147" spans="1:9" x14ac:dyDescent="0.35">
      <c r="A147" s="1">
        <v>47</v>
      </c>
      <c r="B147">
        <v>14000</v>
      </c>
      <c r="C147" t="str">
        <f t="shared" si="2"/>
        <v>4714000</v>
      </c>
      <c r="D147">
        <v>181370</v>
      </c>
      <c r="E147" t="s">
        <v>58</v>
      </c>
      <c r="F147" t="s">
        <v>59</v>
      </c>
      <c r="G147" t="s">
        <v>60</v>
      </c>
      <c r="H147">
        <v>368694994</v>
      </c>
      <c r="I147">
        <v>20014174</v>
      </c>
    </row>
    <row r="148" spans="1:9" x14ac:dyDescent="0.35">
      <c r="A148" s="1">
        <v>46</v>
      </c>
      <c r="B148">
        <v>59020</v>
      </c>
      <c r="C148" t="str">
        <f t="shared" si="2"/>
        <v>4659020</v>
      </c>
      <c r="D148">
        <v>180927</v>
      </c>
      <c r="E148" t="s">
        <v>37</v>
      </c>
      <c r="F148" t="s">
        <v>38</v>
      </c>
      <c r="G148" t="s">
        <v>39</v>
      </c>
      <c r="H148">
        <v>204836897</v>
      </c>
      <c r="I148">
        <v>1407426</v>
      </c>
    </row>
    <row r="149" spans="1:9" x14ac:dyDescent="0.35">
      <c r="A149" s="1">
        <v>51</v>
      </c>
      <c r="B149">
        <v>56000</v>
      </c>
      <c r="C149" t="str">
        <f t="shared" si="2"/>
        <v>5156000</v>
      </c>
      <c r="D149">
        <v>179582</v>
      </c>
      <c r="E149" t="s">
        <v>121</v>
      </c>
      <c r="F149" t="s">
        <v>10</v>
      </c>
      <c r="G149" t="s">
        <v>11</v>
      </c>
      <c r="H149">
        <v>178679454</v>
      </c>
      <c r="I149">
        <v>131135058</v>
      </c>
    </row>
    <row r="150" spans="1:9" x14ac:dyDescent="0.35">
      <c r="A150" s="1">
        <v>44</v>
      </c>
      <c r="B150">
        <v>59000</v>
      </c>
      <c r="C150" t="str">
        <f t="shared" si="2"/>
        <v>4459000</v>
      </c>
      <c r="D150">
        <v>179472</v>
      </c>
      <c r="E150" t="s">
        <v>17</v>
      </c>
      <c r="F150" t="s">
        <v>18</v>
      </c>
      <c r="G150" t="s">
        <v>19</v>
      </c>
      <c r="H150">
        <v>47670949</v>
      </c>
      <c r="I150">
        <v>5643960</v>
      </c>
    </row>
    <row r="151" spans="1:9" x14ac:dyDescent="0.35">
      <c r="A151" s="1" t="s">
        <v>581</v>
      </c>
      <c r="B151">
        <v>70098</v>
      </c>
      <c r="C151" t="str">
        <f t="shared" si="2"/>
        <v>0670098</v>
      </c>
      <c r="D151">
        <v>178391</v>
      </c>
      <c r="E151" t="s">
        <v>351</v>
      </c>
      <c r="F151" t="s">
        <v>143</v>
      </c>
      <c r="G151" t="s">
        <v>144</v>
      </c>
      <c r="H151">
        <v>110145874</v>
      </c>
      <c r="I151">
        <v>451570</v>
      </c>
    </row>
    <row r="152" spans="1:9" x14ac:dyDescent="0.35">
      <c r="A152" s="1" t="s">
        <v>581</v>
      </c>
      <c r="B152">
        <v>53896</v>
      </c>
      <c r="C152" t="str">
        <f t="shared" si="2"/>
        <v>0653896</v>
      </c>
      <c r="D152">
        <v>178194</v>
      </c>
      <c r="E152" t="s">
        <v>262</v>
      </c>
      <c r="F152" t="s">
        <v>143</v>
      </c>
      <c r="G152" t="s">
        <v>144</v>
      </c>
      <c r="H152">
        <v>129425158</v>
      </c>
      <c r="I152">
        <v>75071</v>
      </c>
    </row>
    <row r="153" spans="1:9" x14ac:dyDescent="0.35">
      <c r="A153" s="1" t="s">
        <v>581</v>
      </c>
      <c r="B153">
        <v>59451</v>
      </c>
      <c r="C153" t="str">
        <f t="shared" si="2"/>
        <v>0659451</v>
      </c>
      <c r="D153">
        <v>178060</v>
      </c>
      <c r="E153" t="s">
        <v>301</v>
      </c>
      <c r="F153" t="s">
        <v>143</v>
      </c>
      <c r="G153" t="s">
        <v>144</v>
      </c>
      <c r="H153">
        <v>103885614</v>
      </c>
      <c r="I153">
        <v>24723</v>
      </c>
    </row>
    <row r="154" spans="1:9" x14ac:dyDescent="0.35">
      <c r="A154" s="1" t="s">
        <v>581</v>
      </c>
      <c r="B154">
        <v>53322</v>
      </c>
      <c r="C154" t="str">
        <f t="shared" si="2"/>
        <v>0653322</v>
      </c>
      <c r="D154">
        <v>175694</v>
      </c>
      <c r="E154" t="s">
        <v>261</v>
      </c>
      <c r="F154" t="s">
        <v>143</v>
      </c>
      <c r="G154" t="s">
        <v>144</v>
      </c>
      <c r="H154">
        <v>106889690</v>
      </c>
      <c r="I154">
        <v>2296235</v>
      </c>
    </row>
    <row r="155" spans="1:9" x14ac:dyDescent="0.35">
      <c r="A155" s="1" t="s">
        <v>581</v>
      </c>
      <c r="B155">
        <v>22020</v>
      </c>
      <c r="C155" t="str">
        <f t="shared" si="2"/>
        <v>0622020</v>
      </c>
      <c r="D155">
        <v>173370</v>
      </c>
      <c r="E155" t="s">
        <v>360</v>
      </c>
      <c r="F155" t="s">
        <v>143</v>
      </c>
      <c r="G155" t="s">
        <v>144</v>
      </c>
      <c r="H155">
        <v>108760535</v>
      </c>
      <c r="I155">
        <v>533192</v>
      </c>
    </row>
    <row r="156" spans="1:9" x14ac:dyDescent="0.35">
      <c r="A156" s="1" t="s">
        <v>581</v>
      </c>
      <c r="B156">
        <v>29000</v>
      </c>
      <c r="C156" t="str">
        <f t="shared" si="2"/>
        <v>0629000</v>
      </c>
      <c r="D156">
        <v>172800</v>
      </c>
      <c r="E156" t="s">
        <v>392</v>
      </c>
      <c r="F156" t="s">
        <v>143</v>
      </c>
      <c r="G156" t="s">
        <v>144</v>
      </c>
      <c r="H156">
        <v>46506034</v>
      </c>
      <c r="I156">
        <v>45894</v>
      </c>
    </row>
    <row r="157" spans="1:9" x14ac:dyDescent="0.35">
      <c r="A157" s="1" t="s">
        <v>582</v>
      </c>
      <c r="B157">
        <v>54050</v>
      </c>
      <c r="C157" t="str">
        <f t="shared" si="2"/>
        <v>0454050</v>
      </c>
      <c r="D157">
        <v>172109</v>
      </c>
      <c r="E157" t="s">
        <v>353</v>
      </c>
      <c r="F157" t="s">
        <v>283</v>
      </c>
      <c r="G157" t="s">
        <v>284</v>
      </c>
      <c r="H157">
        <v>456049509</v>
      </c>
      <c r="I157">
        <v>8199012</v>
      </c>
    </row>
    <row r="158" spans="1:9" x14ac:dyDescent="0.35">
      <c r="A158" s="1">
        <v>12</v>
      </c>
      <c r="B158">
        <v>55775</v>
      </c>
      <c r="C158" t="str">
        <f t="shared" si="2"/>
        <v>1255775</v>
      </c>
      <c r="D158">
        <v>171979</v>
      </c>
      <c r="E158" t="s">
        <v>229</v>
      </c>
      <c r="F158" t="s">
        <v>129</v>
      </c>
      <c r="G158" t="s">
        <v>130</v>
      </c>
      <c r="H158">
        <v>84643990</v>
      </c>
      <c r="I158">
        <v>5390263</v>
      </c>
    </row>
    <row r="159" spans="1:9" x14ac:dyDescent="0.35">
      <c r="A159" s="1">
        <v>41</v>
      </c>
      <c r="B159">
        <v>64900</v>
      </c>
      <c r="C159" t="str">
        <f t="shared" si="2"/>
        <v>4164900</v>
      </c>
      <c r="D159">
        <v>171806</v>
      </c>
      <c r="E159" t="s">
        <v>120</v>
      </c>
      <c r="F159" t="s">
        <v>95</v>
      </c>
      <c r="G159" t="s">
        <v>96</v>
      </c>
      <c r="H159">
        <v>126399859</v>
      </c>
      <c r="I159">
        <v>1418529</v>
      </c>
    </row>
    <row r="160" spans="1:9" x14ac:dyDescent="0.35">
      <c r="A160" s="1">
        <v>41</v>
      </c>
      <c r="B160">
        <v>23850</v>
      </c>
      <c r="C160" t="str">
        <f t="shared" si="2"/>
        <v>4123850</v>
      </c>
      <c r="D160">
        <v>170457</v>
      </c>
      <c r="E160" t="s">
        <v>94</v>
      </c>
      <c r="F160" t="s">
        <v>95</v>
      </c>
      <c r="G160" t="s">
        <v>96</v>
      </c>
      <c r="H160">
        <v>114436695</v>
      </c>
      <c r="I160">
        <v>179488</v>
      </c>
    </row>
    <row r="161" spans="1:9" x14ac:dyDescent="0.35">
      <c r="A161" s="1">
        <v>37</v>
      </c>
      <c r="B161">
        <v>10740</v>
      </c>
      <c r="C161" t="str">
        <f t="shared" si="2"/>
        <v>3710740</v>
      </c>
      <c r="D161">
        <v>169177</v>
      </c>
      <c r="E161" t="s">
        <v>335</v>
      </c>
      <c r="F161" t="s">
        <v>317</v>
      </c>
      <c r="G161" t="s">
        <v>318</v>
      </c>
      <c r="H161">
        <v>153412894</v>
      </c>
      <c r="I161">
        <v>2804193</v>
      </c>
    </row>
    <row r="162" spans="1:9" x14ac:dyDescent="0.35">
      <c r="A162" s="1" t="s">
        <v>581</v>
      </c>
      <c r="B162">
        <v>16350</v>
      </c>
      <c r="C162" t="str">
        <f t="shared" si="2"/>
        <v>0616350</v>
      </c>
      <c r="D162">
        <v>168112</v>
      </c>
      <c r="E162" t="s">
        <v>326</v>
      </c>
      <c r="F162" t="s">
        <v>143</v>
      </c>
      <c r="G162" t="s">
        <v>144</v>
      </c>
      <c r="H162">
        <v>103445845</v>
      </c>
      <c r="I162">
        <v>53210</v>
      </c>
    </row>
    <row r="163" spans="1:9" x14ac:dyDescent="0.35">
      <c r="A163" s="1">
        <v>29</v>
      </c>
      <c r="B163">
        <v>70000</v>
      </c>
      <c r="C163" t="str">
        <f t="shared" si="2"/>
        <v>2970000</v>
      </c>
      <c r="D163">
        <v>167601</v>
      </c>
      <c r="E163" t="s">
        <v>165</v>
      </c>
      <c r="F163" t="s">
        <v>177</v>
      </c>
      <c r="G163" t="s">
        <v>178</v>
      </c>
      <c r="H163">
        <v>213487005</v>
      </c>
      <c r="I163">
        <v>1519481</v>
      </c>
    </row>
    <row r="164" spans="1:9" x14ac:dyDescent="0.35">
      <c r="A164" s="1" t="s">
        <v>583</v>
      </c>
      <c r="B164">
        <v>27425</v>
      </c>
      <c r="C164" t="str">
        <f t="shared" si="2"/>
        <v>0827425</v>
      </c>
      <c r="D164">
        <v>166069</v>
      </c>
      <c r="E164" t="s">
        <v>303</v>
      </c>
      <c r="F164" t="s">
        <v>243</v>
      </c>
      <c r="G164" t="s">
        <v>244</v>
      </c>
      <c r="H164">
        <v>148179247</v>
      </c>
      <c r="I164">
        <v>3264785</v>
      </c>
    </row>
    <row r="165" spans="1:9" x14ac:dyDescent="0.35">
      <c r="A165" s="1">
        <v>28</v>
      </c>
      <c r="B165">
        <v>36000</v>
      </c>
      <c r="C165" t="str">
        <f t="shared" si="2"/>
        <v>2836000</v>
      </c>
      <c r="D165">
        <v>163778</v>
      </c>
      <c r="E165" t="s">
        <v>171</v>
      </c>
      <c r="F165" t="s">
        <v>172</v>
      </c>
      <c r="G165" t="s">
        <v>173</v>
      </c>
      <c r="H165">
        <v>289342143</v>
      </c>
      <c r="I165">
        <v>5532980</v>
      </c>
    </row>
    <row r="166" spans="1:9" x14ac:dyDescent="0.35">
      <c r="A166" s="1" t="s">
        <v>581</v>
      </c>
      <c r="B166">
        <v>33000</v>
      </c>
      <c r="C166" t="str">
        <f t="shared" si="2"/>
        <v>0633000</v>
      </c>
      <c r="D166">
        <v>158817</v>
      </c>
      <c r="E166" t="s">
        <v>404</v>
      </c>
      <c r="F166" t="s">
        <v>143</v>
      </c>
      <c r="G166" t="s">
        <v>144</v>
      </c>
      <c r="H166">
        <v>118669082</v>
      </c>
      <c r="I166">
        <v>47415914</v>
      </c>
    </row>
    <row r="167" spans="1:9" x14ac:dyDescent="0.35">
      <c r="A167" s="1">
        <v>51</v>
      </c>
      <c r="B167">
        <v>1000</v>
      </c>
      <c r="C167" t="str">
        <f t="shared" si="2"/>
        <v>511000</v>
      </c>
      <c r="D167">
        <v>158309</v>
      </c>
      <c r="E167" t="s">
        <v>62</v>
      </c>
      <c r="F167" t="s">
        <v>10</v>
      </c>
      <c r="G167" t="s">
        <v>11</v>
      </c>
      <c r="H167">
        <v>38682337</v>
      </c>
      <c r="I167">
        <v>1069028</v>
      </c>
    </row>
    <row r="168" spans="1:9" x14ac:dyDescent="0.35">
      <c r="A168" s="1" t="s">
        <v>581</v>
      </c>
      <c r="B168">
        <v>40130</v>
      </c>
      <c r="C168" t="str">
        <f t="shared" si="2"/>
        <v>0640130</v>
      </c>
      <c r="D168">
        <v>157697</v>
      </c>
      <c r="E168" t="s">
        <v>186</v>
      </c>
      <c r="F168" t="s">
        <v>143</v>
      </c>
      <c r="G168" t="s">
        <v>144</v>
      </c>
      <c r="H168">
        <v>244160144</v>
      </c>
      <c r="I168">
        <v>651713</v>
      </c>
    </row>
    <row r="169" spans="1:9" x14ac:dyDescent="0.35">
      <c r="A169" s="1">
        <v>72</v>
      </c>
      <c r="B169">
        <v>6593</v>
      </c>
      <c r="C169" t="str">
        <f t="shared" si="2"/>
        <v>726593</v>
      </c>
      <c r="D169">
        <v>157517</v>
      </c>
      <c r="E169" t="s">
        <v>78</v>
      </c>
      <c r="F169" t="s">
        <v>79</v>
      </c>
      <c r="G169" t="s">
        <v>80</v>
      </c>
      <c r="H169">
        <v>69985770</v>
      </c>
      <c r="I169">
        <v>331756</v>
      </c>
    </row>
    <row r="170" spans="1:9" x14ac:dyDescent="0.35">
      <c r="A170" s="1" t="s">
        <v>581</v>
      </c>
      <c r="B170">
        <v>64224</v>
      </c>
      <c r="C170" t="str">
        <f t="shared" si="2"/>
        <v>0664224</v>
      </c>
      <c r="D170">
        <v>156177</v>
      </c>
      <c r="E170" t="s">
        <v>332</v>
      </c>
      <c r="F170" t="s">
        <v>143</v>
      </c>
      <c r="G170" t="s">
        <v>144</v>
      </c>
      <c r="H170">
        <v>60903234</v>
      </c>
      <c r="I170">
        <v>83122</v>
      </c>
    </row>
    <row r="171" spans="1:9" x14ac:dyDescent="0.35">
      <c r="A171" s="1">
        <v>47</v>
      </c>
      <c r="B171">
        <v>15160</v>
      </c>
      <c r="C171" t="str">
        <f t="shared" si="2"/>
        <v>4715160</v>
      </c>
      <c r="D171">
        <v>156092</v>
      </c>
      <c r="E171" t="s">
        <v>61</v>
      </c>
      <c r="F171" t="s">
        <v>59</v>
      </c>
      <c r="G171" t="s">
        <v>60</v>
      </c>
      <c r="H171">
        <v>257446809</v>
      </c>
      <c r="I171">
        <v>1812434</v>
      </c>
    </row>
    <row r="172" spans="1:9" x14ac:dyDescent="0.35">
      <c r="A172" s="1" t="s">
        <v>583</v>
      </c>
      <c r="B172">
        <v>43000</v>
      </c>
      <c r="C172" t="str">
        <f t="shared" si="2"/>
        <v>0843000</v>
      </c>
      <c r="D172">
        <v>155733</v>
      </c>
      <c r="E172" t="s">
        <v>333</v>
      </c>
      <c r="F172" t="s">
        <v>243</v>
      </c>
      <c r="G172" t="s">
        <v>244</v>
      </c>
      <c r="H172">
        <v>112595317</v>
      </c>
      <c r="I172">
        <v>3040316</v>
      </c>
    </row>
    <row r="173" spans="1:9" x14ac:dyDescent="0.35">
      <c r="A173" s="1">
        <v>12</v>
      </c>
      <c r="B173">
        <v>32000</v>
      </c>
      <c r="C173" t="str">
        <f t="shared" si="2"/>
        <v>1232000</v>
      </c>
      <c r="D173">
        <v>153834</v>
      </c>
      <c r="E173" t="s">
        <v>157</v>
      </c>
      <c r="F173" t="s">
        <v>129</v>
      </c>
      <c r="G173" t="s">
        <v>130</v>
      </c>
      <c r="H173">
        <v>70630937</v>
      </c>
      <c r="I173">
        <v>9130066</v>
      </c>
    </row>
    <row r="174" spans="1:9" x14ac:dyDescent="0.35">
      <c r="A174" s="1">
        <v>25</v>
      </c>
      <c r="B174">
        <v>67000</v>
      </c>
      <c r="C174" t="str">
        <f t="shared" si="2"/>
        <v>2567000</v>
      </c>
      <c r="D174">
        <v>153677</v>
      </c>
      <c r="E174" t="s">
        <v>165</v>
      </c>
      <c r="F174" t="s">
        <v>205</v>
      </c>
      <c r="G174" t="s">
        <v>206</v>
      </c>
      <c r="H174">
        <v>82542449</v>
      </c>
      <c r="I174">
        <v>3135407</v>
      </c>
    </row>
    <row r="175" spans="1:9" x14ac:dyDescent="0.35">
      <c r="A175" s="1" t="s">
        <v>581</v>
      </c>
      <c r="B175">
        <v>55156</v>
      </c>
      <c r="C175" t="str">
        <f t="shared" si="2"/>
        <v>0655156</v>
      </c>
      <c r="D175">
        <v>153240</v>
      </c>
      <c r="E175" t="s">
        <v>265</v>
      </c>
      <c r="F175" t="s">
        <v>143</v>
      </c>
      <c r="G175" t="s">
        <v>144</v>
      </c>
      <c r="H175">
        <v>274705334</v>
      </c>
      <c r="I175">
        <v>629569</v>
      </c>
    </row>
    <row r="176" spans="1:9" x14ac:dyDescent="0.35">
      <c r="A176" s="1">
        <v>13</v>
      </c>
      <c r="B176">
        <v>49008</v>
      </c>
      <c r="C176" t="str">
        <f t="shared" si="2"/>
        <v>1349008</v>
      </c>
      <c r="D176">
        <v>153026</v>
      </c>
      <c r="E176" t="s">
        <v>411</v>
      </c>
      <c r="F176" t="s">
        <v>163</v>
      </c>
      <c r="G176" t="s">
        <v>164</v>
      </c>
      <c r="H176">
        <v>645898113</v>
      </c>
      <c r="I176">
        <v>14305197</v>
      </c>
    </row>
    <row r="177" spans="1:9" x14ac:dyDescent="0.35">
      <c r="A177" s="1">
        <v>20</v>
      </c>
      <c r="B177">
        <v>36000</v>
      </c>
      <c r="C177" t="str">
        <f t="shared" si="2"/>
        <v>2036000</v>
      </c>
      <c r="D177">
        <v>153014</v>
      </c>
      <c r="E177" t="s">
        <v>189</v>
      </c>
      <c r="F177" t="s">
        <v>296</v>
      </c>
      <c r="G177" t="s">
        <v>297</v>
      </c>
      <c r="H177">
        <v>323068566</v>
      </c>
      <c r="I177">
        <v>9237731</v>
      </c>
    </row>
    <row r="178" spans="1:9" x14ac:dyDescent="0.35">
      <c r="A178" s="1" t="s">
        <v>581</v>
      </c>
      <c r="B178">
        <v>77000</v>
      </c>
      <c r="C178" t="str">
        <f t="shared" si="2"/>
        <v>0677000</v>
      </c>
      <c r="D178">
        <v>152569</v>
      </c>
      <c r="E178" t="s">
        <v>380</v>
      </c>
      <c r="F178" t="s">
        <v>143</v>
      </c>
      <c r="G178" t="s">
        <v>144</v>
      </c>
      <c r="H178">
        <v>57135716</v>
      </c>
      <c r="I178">
        <v>1858933</v>
      </c>
    </row>
    <row r="179" spans="1:9" x14ac:dyDescent="0.35">
      <c r="A179" s="1">
        <v>48</v>
      </c>
      <c r="B179">
        <v>56000</v>
      </c>
      <c r="C179" t="str">
        <f t="shared" si="2"/>
        <v>4856000</v>
      </c>
      <c r="D179">
        <v>152537</v>
      </c>
      <c r="E179" t="s">
        <v>32</v>
      </c>
      <c r="F179" t="s">
        <v>13</v>
      </c>
      <c r="G179" t="s">
        <v>14</v>
      </c>
      <c r="H179">
        <v>113125835</v>
      </c>
      <c r="I179">
        <v>2748512</v>
      </c>
    </row>
    <row r="180" spans="1:9" x14ac:dyDescent="0.35">
      <c r="A180" s="1" t="s">
        <v>581</v>
      </c>
      <c r="B180">
        <v>58072</v>
      </c>
      <c r="C180" t="str">
        <f t="shared" si="2"/>
        <v>0658072</v>
      </c>
      <c r="D180">
        <v>151124</v>
      </c>
      <c r="E180" t="s">
        <v>300</v>
      </c>
      <c r="F180" t="s">
        <v>143</v>
      </c>
      <c r="G180" t="s">
        <v>144</v>
      </c>
      <c r="H180">
        <v>59530485</v>
      </c>
      <c r="I180">
        <v>26188</v>
      </c>
    </row>
    <row r="181" spans="1:9" x14ac:dyDescent="0.35">
      <c r="A181" s="1" t="s">
        <v>581</v>
      </c>
      <c r="B181">
        <v>22804</v>
      </c>
      <c r="C181" t="str">
        <f t="shared" si="2"/>
        <v>0622804</v>
      </c>
      <c r="D181">
        <v>150396</v>
      </c>
      <c r="E181" t="s">
        <v>376</v>
      </c>
      <c r="F181" t="s">
        <v>143</v>
      </c>
      <c r="G181" t="s">
        <v>144</v>
      </c>
      <c r="H181">
        <v>96723121</v>
      </c>
      <c r="I181">
        <v>276445</v>
      </c>
    </row>
    <row r="182" spans="1:9" x14ac:dyDescent="0.35">
      <c r="A182" s="1">
        <v>48</v>
      </c>
      <c r="B182">
        <v>39148</v>
      </c>
      <c r="C182" t="str">
        <f t="shared" si="2"/>
        <v>4839148</v>
      </c>
      <c r="D182">
        <v>148573</v>
      </c>
      <c r="E182" t="s">
        <v>92</v>
      </c>
      <c r="F182" t="s">
        <v>13</v>
      </c>
      <c r="G182" t="s">
        <v>14</v>
      </c>
      <c r="H182">
        <v>142058175</v>
      </c>
      <c r="I182">
        <v>1690801</v>
      </c>
    </row>
    <row r="183" spans="1:9" x14ac:dyDescent="0.35">
      <c r="A183" s="1">
        <v>17</v>
      </c>
      <c r="B183">
        <v>51622</v>
      </c>
      <c r="C183" t="str">
        <f t="shared" si="2"/>
        <v>1751622</v>
      </c>
      <c r="D183">
        <v>147734</v>
      </c>
      <c r="E183" t="s">
        <v>352</v>
      </c>
      <c r="F183" t="s">
        <v>166</v>
      </c>
      <c r="G183" t="s">
        <v>167</v>
      </c>
      <c r="H183">
        <v>101209893</v>
      </c>
      <c r="I183">
        <v>1516459</v>
      </c>
    </row>
    <row r="184" spans="1:9" x14ac:dyDescent="0.35">
      <c r="A184" s="1">
        <v>17</v>
      </c>
      <c r="B184">
        <v>65000</v>
      </c>
      <c r="C184" t="str">
        <f t="shared" si="2"/>
        <v>1765000</v>
      </c>
      <c r="D184">
        <v>147441</v>
      </c>
      <c r="E184" t="s">
        <v>413</v>
      </c>
      <c r="F184" t="s">
        <v>166</v>
      </c>
      <c r="G184" t="s">
        <v>167</v>
      </c>
      <c r="H184">
        <v>167167048</v>
      </c>
      <c r="I184">
        <v>2628722</v>
      </c>
    </row>
    <row r="185" spans="1:9" x14ac:dyDescent="0.35">
      <c r="A185" s="1">
        <v>17</v>
      </c>
      <c r="B185">
        <v>38570</v>
      </c>
      <c r="C185" t="str">
        <f t="shared" si="2"/>
        <v>1738570</v>
      </c>
      <c r="D185">
        <v>147323</v>
      </c>
      <c r="E185" t="s">
        <v>249</v>
      </c>
      <c r="F185" t="s">
        <v>166</v>
      </c>
      <c r="G185" t="s">
        <v>167</v>
      </c>
      <c r="H185">
        <v>167096926</v>
      </c>
      <c r="I185">
        <v>1919330</v>
      </c>
    </row>
    <row r="186" spans="1:9" x14ac:dyDescent="0.35">
      <c r="A186" s="1">
        <v>53</v>
      </c>
      <c r="B186">
        <v>5210</v>
      </c>
      <c r="C186" t="str">
        <f t="shared" si="2"/>
        <v>535210</v>
      </c>
      <c r="D186">
        <v>146145</v>
      </c>
      <c r="E186" t="s">
        <v>42</v>
      </c>
      <c r="F186" t="s">
        <v>43</v>
      </c>
      <c r="G186" t="s">
        <v>44</v>
      </c>
      <c r="H186">
        <v>86663751</v>
      </c>
      <c r="I186">
        <v>10472194</v>
      </c>
    </row>
    <row r="187" spans="1:9" x14ac:dyDescent="0.35">
      <c r="A187" s="1">
        <v>13</v>
      </c>
      <c r="B187">
        <v>69000</v>
      </c>
      <c r="C187" t="str">
        <f t="shared" si="2"/>
        <v>1369000</v>
      </c>
      <c r="D187">
        <v>145492</v>
      </c>
      <c r="E187" t="s">
        <v>187</v>
      </c>
      <c r="F187" t="s">
        <v>163</v>
      </c>
      <c r="G187" t="s">
        <v>164</v>
      </c>
      <c r="H187">
        <v>276730651</v>
      </c>
      <c r="I187">
        <v>12329738</v>
      </c>
    </row>
    <row r="188" spans="1:9" x14ac:dyDescent="0.35">
      <c r="A188" s="1">
        <v>34</v>
      </c>
      <c r="B188">
        <v>57000</v>
      </c>
      <c r="C188" t="str">
        <f t="shared" si="2"/>
        <v>3457000</v>
      </c>
      <c r="D188">
        <v>145484</v>
      </c>
      <c r="E188" t="s">
        <v>386</v>
      </c>
      <c r="F188" t="s">
        <v>372</v>
      </c>
      <c r="G188" t="s">
        <v>373</v>
      </c>
      <c r="H188">
        <v>21790111</v>
      </c>
      <c r="I188">
        <v>762703</v>
      </c>
    </row>
    <row r="189" spans="1:9" x14ac:dyDescent="0.35">
      <c r="A189" s="1" t="s">
        <v>587</v>
      </c>
      <c r="B189">
        <v>8000</v>
      </c>
      <c r="C189" t="str">
        <f t="shared" si="2"/>
        <v>098000</v>
      </c>
      <c r="D189">
        <v>145014</v>
      </c>
      <c r="E189" t="s">
        <v>363</v>
      </c>
      <c r="F189" t="s">
        <v>364</v>
      </c>
      <c r="G189" t="s">
        <v>365</v>
      </c>
      <c r="H189">
        <v>41606638</v>
      </c>
      <c r="I189">
        <v>8705768</v>
      </c>
    </row>
    <row r="190" spans="1:9" x14ac:dyDescent="0.35">
      <c r="A190" s="1" t="s">
        <v>581</v>
      </c>
      <c r="B190">
        <v>80000</v>
      </c>
      <c r="C190" t="str">
        <f t="shared" si="2"/>
        <v>0680000</v>
      </c>
      <c r="D190">
        <v>144430</v>
      </c>
      <c r="E190" t="s">
        <v>395</v>
      </c>
      <c r="F190" t="s">
        <v>143</v>
      </c>
      <c r="G190" t="s">
        <v>144</v>
      </c>
      <c r="H190">
        <v>53141224</v>
      </c>
      <c r="I190">
        <v>10608735</v>
      </c>
    </row>
    <row r="191" spans="1:9" x14ac:dyDescent="0.35">
      <c r="A191" s="1" t="s">
        <v>583</v>
      </c>
      <c r="B191">
        <v>77290</v>
      </c>
      <c r="C191" t="str">
        <f t="shared" si="2"/>
        <v>0877290</v>
      </c>
      <c r="D191">
        <v>144186</v>
      </c>
      <c r="E191" t="s">
        <v>382</v>
      </c>
      <c r="F191" t="s">
        <v>243</v>
      </c>
      <c r="G191" t="s">
        <v>244</v>
      </c>
      <c r="H191">
        <v>93042506</v>
      </c>
      <c r="I191">
        <v>5238994</v>
      </c>
    </row>
    <row r="192" spans="1:9" x14ac:dyDescent="0.35">
      <c r="A192" s="1">
        <v>48</v>
      </c>
      <c r="B192">
        <v>45384</v>
      </c>
      <c r="C192" t="str">
        <f t="shared" si="2"/>
        <v>4845384</v>
      </c>
      <c r="D192">
        <v>142557</v>
      </c>
      <c r="E192" t="s">
        <v>126</v>
      </c>
      <c r="F192" t="s">
        <v>13</v>
      </c>
      <c r="G192" t="s">
        <v>14</v>
      </c>
      <c r="H192">
        <v>161376053</v>
      </c>
      <c r="I192">
        <v>1106285</v>
      </c>
    </row>
    <row r="193" spans="1:9" x14ac:dyDescent="0.35">
      <c r="A193" s="1">
        <v>36</v>
      </c>
      <c r="B193">
        <v>73000</v>
      </c>
      <c r="C193" t="str">
        <f t="shared" si="2"/>
        <v>3673000</v>
      </c>
      <c r="D193">
        <v>142553</v>
      </c>
      <c r="E193" t="s">
        <v>314</v>
      </c>
      <c r="F193" t="s">
        <v>293</v>
      </c>
      <c r="G193" t="s">
        <v>292</v>
      </c>
      <c r="H193">
        <v>64903077</v>
      </c>
      <c r="I193">
        <v>1507055</v>
      </c>
    </row>
    <row r="194" spans="1:9" x14ac:dyDescent="0.35">
      <c r="A194" s="1">
        <v>48</v>
      </c>
      <c r="B194">
        <v>47892</v>
      </c>
      <c r="C194" t="str">
        <f t="shared" si="2"/>
        <v>4847892</v>
      </c>
      <c r="D194">
        <v>142429</v>
      </c>
      <c r="E194" t="s">
        <v>15</v>
      </c>
      <c r="F194" t="s">
        <v>13</v>
      </c>
      <c r="G194" t="s">
        <v>14</v>
      </c>
      <c r="H194">
        <v>125570737</v>
      </c>
      <c r="I194">
        <v>494774</v>
      </c>
    </row>
    <row r="195" spans="1:9" x14ac:dyDescent="0.35">
      <c r="A195" s="1" t="s">
        <v>581</v>
      </c>
      <c r="B195">
        <v>56000</v>
      </c>
      <c r="C195" t="str">
        <f t="shared" ref="C195:C258" si="3">CONCATENATE(A195,B195)</f>
        <v>0656000</v>
      </c>
      <c r="D195">
        <v>142017</v>
      </c>
      <c r="E195" t="s">
        <v>32</v>
      </c>
      <c r="F195" t="s">
        <v>143</v>
      </c>
      <c r="G195" t="s">
        <v>144</v>
      </c>
      <c r="H195">
        <v>59470461</v>
      </c>
      <c r="I195">
        <v>366889</v>
      </c>
    </row>
    <row r="196" spans="1:9" x14ac:dyDescent="0.35">
      <c r="A196" s="1">
        <v>47</v>
      </c>
      <c r="B196">
        <v>51560</v>
      </c>
      <c r="C196" t="str">
        <f t="shared" si="3"/>
        <v>4751560</v>
      </c>
      <c r="D196">
        <v>141704</v>
      </c>
      <c r="E196" t="s">
        <v>88</v>
      </c>
      <c r="F196" t="s">
        <v>59</v>
      </c>
      <c r="G196" t="s">
        <v>60</v>
      </c>
      <c r="H196">
        <v>162879966</v>
      </c>
      <c r="I196">
        <v>353385</v>
      </c>
    </row>
    <row r="197" spans="1:9" x14ac:dyDescent="0.35">
      <c r="A197" s="1">
        <v>48</v>
      </c>
      <c r="B197">
        <v>48072</v>
      </c>
      <c r="C197" t="str">
        <f t="shared" si="3"/>
        <v>4848072</v>
      </c>
      <c r="D197">
        <v>141194</v>
      </c>
      <c r="E197" t="s">
        <v>16</v>
      </c>
      <c r="F197" t="s">
        <v>13</v>
      </c>
      <c r="G197" t="s">
        <v>14</v>
      </c>
      <c r="H197">
        <v>195413922</v>
      </c>
      <c r="I197">
        <v>441855</v>
      </c>
    </row>
    <row r="198" spans="1:9" x14ac:dyDescent="0.35">
      <c r="A198" s="1" t="s">
        <v>581</v>
      </c>
      <c r="B198">
        <v>28000</v>
      </c>
      <c r="C198" t="str">
        <f t="shared" si="3"/>
        <v>0628000</v>
      </c>
      <c r="D198">
        <v>141061</v>
      </c>
      <c r="E198" t="s">
        <v>391</v>
      </c>
      <c r="F198" t="s">
        <v>143</v>
      </c>
      <c r="G198" t="s">
        <v>144</v>
      </c>
      <c r="H198">
        <v>58065841</v>
      </c>
      <c r="I198">
        <v>32825</v>
      </c>
    </row>
    <row r="199" spans="1:9" x14ac:dyDescent="0.35">
      <c r="A199" s="1">
        <v>12</v>
      </c>
      <c r="B199">
        <v>45975</v>
      </c>
      <c r="C199" t="str">
        <f t="shared" si="3"/>
        <v>1245975</v>
      </c>
      <c r="D199">
        <v>140479</v>
      </c>
      <c r="E199" t="s">
        <v>202</v>
      </c>
      <c r="F199" t="s">
        <v>129</v>
      </c>
      <c r="G199" t="s">
        <v>130</v>
      </c>
      <c r="H199">
        <v>74729795</v>
      </c>
      <c r="I199">
        <v>5772313</v>
      </c>
    </row>
    <row r="200" spans="1:9" x14ac:dyDescent="0.35">
      <c r="A200" s="1">
        <v>39</v>
      </c>
      <c r="B200">
        <v>21000</v>
      </c>
      <c r="C200" t="str">
        <f t="shared" si="3"/>
        <v>3921000</v>
      </c>
      <c r="D200">
        <v>140444</v>
      </c>
      <c r="E200" t="s">
        <v>237</v>
      </c>
      <c r="F200" t="s">
        <v>73</v>
      </c>
      <c r="G200" t="s">
        <v>74</v>
      </c>
      <c r="H200">
        <v>144536867</v>
      </c>
      <c r="I200">
        <v>2988000</v>
      </c>
    </row>
    <row r="201" spans="1:9" x14ac:dyDescent="0.35">
      <c r="A201" s="1">
        <v>48</v>
      </c>
      <c r="B201">
        <v>19972</v>
      </c>
      <c r="C201" t="str">
        <f t="shared" si="3"/>
        <v>4819972</v>
      </c>
      <c r="D201">
        <v>139734</v>
      </c>
      <c r="E201" t="s">
        <v>49</v>
      </c>
      <c r="F201" t="s">
        <v>13</v>
      </c>
      <c r="G201" t="s">
        <v>14</v>
      </c>
      <c r="H201">
        <v>249552221</v>
      </c>
      <c r="I201">
        <v>3980621</v>
      </c>
    </row>
    <row r="202" spans="1:9" x14ac:dyDescent="0.35">
      <c r="A202" s="1" t="s">
        <v>581</v>
      </c>
      <c r="B202">
        <v>53980</v>
      </c>
      <c r="C202" t="str">
        <f t="shared" si="3"/>
        <v>0653980</v>
      </c>
      <c r="D202">
        <v>139322</v>
      </c>
      <c r="E202" t="s">
        <v>263</v>
      </c>
      <c r="F202" t="s">
        <v>143</v>
      </c>
      <c r="G202" t="s">
        <v>144</v>
      </c>
      <c r="H202">
        <v>66478667</v>
      </c>
      <c r="I202">
        <v>386916</v>
      </c>
    </row>
    <row r="203" spans="1:9" x14ac:dyDescent="0.35">
      <c r="A203" s="1">
        <v>20</v>
      </c>
      <c r="B203">
        <v>52575</v>
      </c>
      <c r="C203" t="str">
        <f t="shared" si="3"/>
        <v>2052575</v>
      </c>
      <c r="D203">
        <v>139216</v>
      </c>
      <c r="E203" t="s">
        <v>387</v>
      </c>
      <c r="F203" t="s">
        <v>296</v>
      </c>
      <c r="G203" t="s">
        <v>297</v>
      </c>
      <c r="H203">
        <v>160305884</v>
      </c>
      <c r="I203">
        <v>1962099</v>
      </c>
    </row>
    <row r="204" spans="1:9" x14ac:dyDescent="0.35">
      <c r="A204" s="1" t="s">
        <v>582</v>
      </c>
      <c r="B204">
        <v>71510</v>
      </c>
      <c r="C204" t="str">
        <f t="shared" si="3"/>
        <v>0471510</v>
      </c>
      <c r="D204">
        <v>139007</v>
      </c>
      <c r="E204" t="s">
        <v>370</v>
      </c>
      <c r="F204" t="s">
        <v>283</v>
      </c>
      <c r="G204" t="s">
        <v>284</v>
      </c>
      <c r="H204">
        <v>285680055</v>
      </c>
      <c r="I204">
        <v>566784</v>
      </c>
    </row>
    <row r="205" spans="1:9" x14ac:dyDescent="0.35">
      <c r="A205" s="1" t="s">
        <v>581</v>
      </c>
      <c r="B205">
        <v>62938</v>
      </c>
      <c r="C205" t="str">
        <f t="shared" si="3"/>
        <v>0662938</v>
      </c>
      <c r="D205">
        <v>138860</v>
      </c>
      <c r="E205" t="s">
        <v>330</v>
      </c>
      <c r="F205" t="s">
        <v>143</v>
      </c>
      <c r="G205" t="s">
        <v>144</v>
      </c>
      <c r="H205">
        <v>114162282</v>
      </c>
      <c r="I205">
        <v>0</v>
      </c>
    </row>
    <row r="206" spans="1:9" x14ac:dyDescent="0.35">
      <c r="A206" s="1">
        <v>22</v>
      </c>
      <c r="B206">
        <v>50115</v>
      </c>
      <c r="C206" t="str">
        <f t="shared" si="3"/>
        <v>2250115</v>
      </c>
      <c r="D206">
        <v>138511</v>
      </c>
      <c r="E206" t="s">
        <v>203</v>
      </c>
      <c r="F206" t="s">
        <v>136</v>
      </c>
      <c r="G206" t="s">
        <v>137</v>
      </c>
      <c r="H206">
        <v>60239658</v>
      </c>
      <c r="I206">
        <v>109316</v>
      </c>
    </row>
    <row r="207" spans="1:9" x14ac:dyDescent="0.35">
      <c r="A207" s="1">
        <v>48</v>
      </c>
      <c r="B207">
        <v>76000</v>
      </c>
      <c r="C207" t="str">
        <f t="shared" si="3"/>
        <v>4876000</v>
      </c>
      <c r="D207">
        <v>137779</v>
      </c>
      <c r="E207" t="s">
        <v>104</v>
      </c>
      <c r="F207" t="s">
        <v>13</v>
      </c>
      <c r="G207" t="s">
        <v>14</v>
      </c>
      <c r="H207">
        <v>229817124</v>
      </c>
      <c r="I207">
        <v>32160264</v>
      </c>
    </row>
    <row r="208" spans="1:9" x14ac:dyDescent="0.35">
      <c r="A208" s="1">
        <v>48</v>
      </c>
      <c r="B208">
        <v>13024</v>
      </c>
      <c r="C208" t="str">
        <f t="shared" si="3"/>
        <v>4813024</v>
      </c>
      <c r="D208">
        <v>137319</v>
      </c>
      <c r="E208" t="s">
        <v>25</v>
      </c>
      <c r="F208" t="s">
        <v>13</v>
      </c>
      <c r="G208" t="s">
        <v>14</v>
      </c>
      <c r="H208">
        <v>94939827</v>
      </c>
      <c r="I208">
        <v>2002439</v>
      </c>
    </row>
    <row r="209" spans="1:9" x14ac:dyDescent="0.35">
      <c r="A209" s="1">
        <v>45</v>
      </c>
      <c r="B209">
        <v>13330</v>
      </c>
      <c r="C209" t="str">
        <f t="shared" si="3"/>
        <v>4513330</v>
      </c>
      <c r="D209">
        <v>137041</v>
      </c>
      <c r="E209" t="s">
        <v>50</v>
      </c>
      <c r="F209" t="s">
        <v>51</v>
      </c>
      <c r="G209" t="s">
        <v>52</v>
      </c>
      <c r="H209">
        <v>297221647</v>
      </c>
      <c r="I209">
        <v>52744557</v>
      </c>
    </row>
    <row r="210" spans="1:9" x14ac:dyDescent="0.35">
      <c r="A210" s="1">
        <v>49</v>
      </c>
      <c r="B210">
        <v>83470</v>
      </c>
      <c r="C210" t="str">
        <f t="shared" si="3"/>
        <v>4983470</v>
      </c>
      <c r="D210">
        <v>135610</v>
      </c>
      <c r="E210" t="s">
        <v>41</v>
      </c>
      <c r="F210" t="s">
        <v>28</v>
      </c>
      <c r="G210" t="s">
        <v>29</v>
      </c>
      <c r="H210">
        <v>92788065</v>
      </c>
      <c r="I210">
        <v>136726</v>
      </c>
    </row>
    <row r="211" spans="1:9" x14ac:dyDescent="0.35">
      <c r="A211" s="1">
        <v>51</v>
      </c>
      <c r="B211">
        <v>35000</v>
      </c>
      <c r="C211" t="str">
        <f t="shared" si="3"/>
        <v>5135000</v>
      </c>
      <c r="D211">
        <v>135169</v>
      </c>
      <c r="E211" t="s">
        <v>98</v>
      </c>
      <c r="F211" t="s">
        <v>10</v>
      </c>
      <c r="G211" t="s">
        <v>11</v>
      </c>
      <c r="H211">
        <v>133282615</v>
      </c>
      <c r="I211">
        <v>219667964</v>
      </c>
    </row>
    <row r="212" spans="1:9" x14ac:dyDescent="0.35">
      <c r="A212" s="1">
        <v>72</v>
      </c>
      <c r="B212">
        <v>14290</v>
      </c>
      <c r="C212" t="str">
        <f t="shared" si="3"/>
        <v>7214290</v>
      </c>
      <c r="D212">
        <v>134207</v>
      </c>
      <c r="E212" t="s">
        <v>81</v>
      </c>
      <c r="F212" t="s">
        <v>79</v>
      </c>
      <c r="G212" t="s">
        <v>80</v>
      </c>
      <c r="H212">
        <v>53633282</v>
      </c>
      <c r="I212">
        <v>8786043</v>
      </c>
    </row>
    <row r="213" spans="1:9" x14ac:dyDescent="0.35">
      <c r="A213" s="1">
        <v>26</v>
      </c>
      <c r="B213">
        <v>84000</v>
      </c>
      <c r="C213" t="str">
        <f t="shared" si="3"/>
        <v>2684000</v>
      </c>
      <c r="D213">
        <v>134188</v>
      </c>
      <c r="E213" t="s">
        <v>383</v>
      </c>
      <c r="F213" t="s">
        <v>169</v>
      </c>
      <c r="G213" t="s">
        <v>170</v>
      </c>
      <c r="H213">
        <v>89035726</v>
      </c>
      <c r="I213">
        <v>146342</v>
      </c>
    </row>
    <row r="214" spans="1:9" x14ac:dyDescent="0.35">
      <c r="A214" s="1">
        <v>45</v>
      </c>
      <c r="B214">
        <v>16000</v>
      </c>
      <c r="C214" t="str">
        <f t="shared" si="3"/>
        <v>4516000</v>
      </c>
      <c r="D214">
        <v>134057</v>
      </c>
      <c r="E214" t="s">
        <v>53</v>
      </c>
      <c r="F214" t="s">
        <v>51</v>
      </c>
      <c r="G214" t="s">
        <v>52</v>
      </c>
      <c r="H214">
        <v>354253811</v>
      </c>
      <c r="I214">
        <v>7429318</v>
      </c>
    </row>
    <row r="215" spans="1:9" x14ac:dyDescent="0.35">
      <c r="A215" s="1">
        <v>12</v>
      </c>
      <c r="B215">
        <v>25175</v>
      </c>
      <c r="C215" t="str">
        <f t="shared" si="3"/>
        <v>1225175</v>
      </c>
      <c r="D215">
        <v>133611</v>
      </c>
      <c r="E215" t="s">
        <v>128</v>
      </c>
      <c r="F215" t="s">
        <v>129</v>
      </c>
      <c r="G215" t="s">
        <v>130</v>
      </c>
      <c r="H215">
        <v>163566185</v>
      </c>
      <c r="I215">
        <v>3041971</v>
      </c>
    </row>
    <row r="216" spans="1:9" x14ac:dyDescent="0.35">
      <c r="A216" s="1">
        <v>12</v>
      </c>
      <c r="B216">
        <v>14400</v>
      </c>
      <c r="C216" t="str">
        <f t="shared" si="3"/>
        <v>1214400</v>
      </c>
      <c r="D216">
        <v>133370</v>
      </c>
      <c r="E216" t="s">
        <v>210</v>
      </c>
      <c r="F216" t="s">
        <v>129</v>
      </c>
      <c r="G216" t="s">
        <v>130</v>
      </c>
      <c r="H216">
        <v>59218761</v>
      </c>
      <c r="I216">
        <v>2906546</v>
      </c>
    </row>
    <row r="217" spans="1:9" x14ac:dyDescent="0.35">
      <c r="A217" s="1">
        <v>19</v>
      </c>
      <c r="B217">
        <v>12000</v>
      </c>
      <c r="C217" t="str">
        <f t="shared" si="3"/>
        <v>1912000</v>
      </c>
      <c r="D217">
        <v>133125</v>
      </c>
      <c r="E217" t="s">
        <v>275</v>
      </c>
      <c r="F217" t="s">
        <v>276</v>
      </c>
      <c r="G217" t="s">
        <v>277</v>
      </c>
      <c r="H217">
        <v>186746635</v>
      </c>
      <c r="I217">
        <v>3069229</v>
      </c>
    </row>
    <row r="218" spans="1:9" x14ac:dyDescent="0.35">
      <c r="A218" s="1" t="s">
        <v>581</v>
      </c>
      <c r="B218">
        <v>82954</v>
      </c>
      <c r="C218" t="str">
        <f t="shared" si="3"/>
        <v>0682954</v>
      </c>
      <c r="D218">
        <v>133100</v>
      </c>
      <c r="E218" t="s">
        <v>407</v>
      </c>
      <c r="F218" t="s">
        <v>143</v>
      </c>
      <c r="G218" t="s">
        <v>144</v>
      </c>
      <c r="H218">
        <v>98250380</v>
      </c>
      <c r="I218">
        <v>51434</v>
      </c>
    </row>
    <row r="219" spans="1:9" x14ac:dyDescent="0.35">
      <c r="A219" s="1">
        <v>26</v>
      </c>
      <c r="B219">
        <v>76460</v>
      </c>
      <c r="C219" t="str">
        <f t="shared" si="3"/>
        <v>2676460</v>
      </c>
      <c r="D219">
        <v>132296</v>
      </c>
      <c r="E219" t="s">
        <v>367</v>
      </c>
      <c r="F219" t="s">
        <v>169</v>
      </c>
      <c r="G219" t="s">
        <v>170</v>
      </c>
      <c r="H219">
        <v>94387916</v>
      </c>
      <c r="I219">
        <v>712140</v>
      </c>
    </row>
    <row r="220" spans="1:9" x14ac:dyDescent="0.35">
      <c r="A220" s="1" t="s">
        <v>587</v>
      </c>
      <c r="B220">
        <v>52000</v>
      </c>
      <c r="C220" t="str">
        <f t="shared" si="3"/>
        <v>0952000</v>
      </c>
      <c r="D220">
        <v>130381</v>
      </c>
      <c r="E220" t="s">
        <v>396</v>
      </c>
      <c r="F220" t="s">
        <v>364</v>
      </c>
      <c r="G220" t="s">
        <v>365</v>
      </c>
      <c r="H220">
        <v>48407074</v>
      </c>
      <c r="I220">
        <v>3738291</v>
      </c>
    </row>
    <row r="221" spans="1:9" x14ac:dyDescent="0.35">
      <c r="A221" s="1" t="s">
        <v>587</v>
      </c>
      <c r="B221">
        <v>73000</v>
      </c>
      <c r="C221" t="str">
        <f t="shared" si="3"/>
        <v>0973000</v>
      </c>
      <c r="D221">
        <v>130057</v>
      </c>
      <c r="E221" t="s">
        <v>409</v>
      </c>
      <c r="F221" t="s">
        <v>364</v>
      </c>
      <c r="G221" t="s">
        <v>365</v>
      </c>
      <c r="H221">
        <v>97428717</v>
      </c>
      <c r="I221">
        <v>37325590</v>
      </c>
    </row>
    <row r="222" spans="1:9" x14ac:dyDescent="0.35">
      <c r="A222" s="1">
        <v>53</v>
      </c>
      <c r="B222">
        <v>35415</v>
      </c>
      <c r="C222" t="str">
        <f t="shared" si="3"/>
        <v>5335415</v>
      </c>
      <c r="D222">
        <v>130038</v>
      </c>
      <c r="E222" t="s">
        <v>69</v>
      </c>
      <c r="F222" t="s">
        <v>43</v>
      </c>
      <c r="G222" t="s">
        <v>44</v>
      </c>
      <c r="H222">
        <v>87411126</v>
      </c>
      <c r="I222">
        <v>1726257</v>
      </c>
    </row>
    <row r="223" spans="1:9" x14ac:dyDescent="0.35">
      <c r="A223" s="1" t="s">
        <v>581</v>
      </c>
      <c r="B223">
        <v>16000</v>
      </c>
      <c r="C223" t="str">
        <f t="shared" si="3"/>
        <v>0616000</v>
      </c>
      <c r="D223">
        <v>129227</v>
      </c>
      <c r="E223" t="s">
        <v>325</v>
      </c>
      <c r="F223" t="s">
        <v>143</v>
      </c>
      <c r="G223" t="s">
        <v>144</v>
      </c>
      <c r="H223">
        <v>79130630</v>
      </c>
      <c r="I223">
        <v>0</v>
      </c>
    </row>
    <row r="224" spans="1:9" x14ac:dyDescent="0.35">
      <c r="A224" s="1">
        <v>48</v>
      </c>
      <c r="B224">
        <v>63500</v>
      </c>
      <c r="C224" t="str">
        <f t="shared" si="3"/>
        <v>4863500</v>
      </c>
      <c r="D224">
        <v>128812</v>
      </c>
      <c r="E224" t="s">
        <v>57</v>
      </c>
      <c r="F224" t="s">
        <v>13</v>
      </c>
      <c r="G224" t="s">
        <v>14</v>
      </c>
      <c r="H224">
        <v>97485892</v>
      </c>
      <c r="I224">
        <v>925884</v>
      </c>
    </row>
    <row r="225" spans="1:9" x14ac:dyDescent="0.35">
      <c r="A225" s="1">
        <v>34</v>
      </c>
      <c r="B225">
        <v>21000</v>
      </c>
      <c r="C225" t="str">
        <f t="shared" si="3"/>
        <v>3421000</v>
      </c>
      <c r="D225">
        <v>128484</v>
      </c>
      <c r="E225" t="s">
        <v>371</v>
      </c>
      <c r="F225" t="s">
        <v>372</v>
      </c>
      <c r="G225" t="s">
        <v>373</v>
      </c>
      <c r="H225">
        <v>31905470</v>
      </c>
      <c r="I225">
        <v>3418030</v>
      </c>
    </row>
    <row r="226" spans="1:9" x14ac:dyDescent="0.35">
      <c r="A226" s="1" t="s">
        <v>581</v>
      </c>
      <c r="B226">
        <v>78582</v>
      </c>
      <c r="C226" t="str">
        <f t="shared" si="3"/>
        <v>0678582</v>
      </c>
      <c r="D226">
        <v>127648</v>
      </c>
      <c r="E226" t="s">
        <v>394</v>
      </c>
      <c r="F226" t="s">
        <v>143</v>
      </c>
      <c r="G226" t="s">
        <v>144</v>
      </c>
      <c r="H226">
        <v>143114080</v>
      </c>
      <c r="I226">
        <v>375961</v>
      </c>
    </row>
    <row r="227" spans="1:9" x14ac:dyDescent="0.35">
      <c r="A227" s="1" t="s">
        <v>581</v>
      </c>
      <c r="B227">
        <v>69084</v>
      </c>
      <c r="C227" t="str">
        <f t="shared" si="3"/>
        <v>0669084</v>
      </c>
      <c r="D227">
        <v>126723</v>
      </c>
      <c r="E227" t="s">
        <v>348</v>
      </c>
      <c r="F227" t="s">
        <v>143</v>
      </c>
      <c r="G227" t="s">
        <v>144</v>
      </c>
      <c r="H227">
        <v>47336092</v>
      </c>
      <c r="I227">
        <v>0</v>
      </c>
    </row>
    <row r="228" spans="1:9" x14ac:dyDescent="0.35">
      <c r="A228" s="1">
        <v>22</v>
      </c>
      <c r="B228">
        <v>40735</v>
      </c>
      <c r="C228" t="str">
        <f t="shared" si="3"/>
        <v>2240735</v>
      </c>
      <c r="D228">
        <v>126674</v>
      </c>
      <c r="E228" t="s">
        <v>193</v>
      </c>
      <c r="F228" t="s">
        <v>136</v>
      </c>
      <c r="G228" t="s">
        <v>137</v>
      </c>
      <c r="H228">
        <v>144582240</v>
      </c>
      <c r="I228">
        <v>203100</v>
      </c>
    </row>
    <row r="229" spans="1:9" x14ac:dyDescent="0.35">
      <c r="A229" s="1">
        <v>20</v>
      </c>
      <c r="B229">
        <v>71000</v>
      </c>
      <c r="C229" t="str">
        <f t="shared" si="3"/>
        <v>2071000</v>
      </c>
      <c r="D229">
        <v>125819</v>
      </c>
      <c r="E229" t="s">
        <v>295</v>
      </c>
      <c r="F229" t="s">
        <v>296</v>
      </c>
      <c r="G229" t="s">
        <v>297</v>
      </c>
      <c r="H229">
        <v>159148211</v>
      </c>
      <c r="I229">
        <v>3390968</v>
      </c>
    </row>
    <row r="230" spans="1:9" x14ac:dyDescent="0.35">
      <c r="A230" s="1">
        <v>48</v>
      </c>
      <c r="B230">
        <v>56348</v>
      </c>
      <c r="C230" t="str">
        <f t="shared" si="3"/>
        <v>4856348</v>
      </c>
      <c r="D230">
        <v>125817</v>
      </c>
      <c r="E230" t="s">
        <v>33</v>
      </c>
      <c r="F230" t="s">
        <v>13</v>
      </c>
      <c r="G230" t="s">
        <v>14</v>
      </c>
      <c r="H230">
        <v>126064943</v>
      </c>
      <c r="I230">
        <v>451327</v>
      </c>
    </row>
    <row r="231" spans="1:9" x14ac:dyDescent="0.35">
      <c r="A231" s="1" t="s">
        <v>581</v>
      </c>
      <c r="B231">
        <v>72016</v>
      </c>
      <c r="C231" t="str">
        <f t="shared" si="3"/>
        <v>0672016</v>
      </c>
      <c r="D231">
        <v>125768</v>
      </c>
      <c r="E231" t="s">
        <v>362</v>
      </c>
      <c r="F231" t="s">
        <v>143</v>
      </c>
      <c r="G231" t="s">
        <v>144</v>
      </c>
      <c r="H231">
        <v>107601139</v>
      </c>
      <c r="I231">
        <v>1831566</v>
      </c>
    </row>
    <row r="232" spans="1:9" x14ac:dyDescent="0.35">
      <c r="A232" s="1">
        <v>13</v>
      </c>
      <c r="B232">
        <v>3440</v>
      </c>
      <c r="C232" t="str">
        <f t="shared" si="3"/>
        <v>133440</v>
      </c>
      <c r="D232">
        <v>124962</v>
      </c>
      <c r="E232" t="s">
        <v>306</v>
      </c>
      <c r="F232" t="s">
        <v>163</v>
      </c>
      <c r="G232" t="s">
        <v>164</v>
      </c>
      <c r="H232">
        <v>301290486</v>
      </c>
      <c r="I232">
        <v>4593111</v>
      </c>
    </row>
    <row r="233" spans="1:9" x14ac:dyDescent="0.35">
      <c r="A233" s="1">
        <v>48</v>
      </c>
      <c r="B233">
        <v>1000</v>
      </c>
      <c r="C233" t="str">
        <f t="shared" si="3"/>
        <v>481000</v>
      </c>
      <c r="D233">
        <v>124691</v>
      </c>
      <c r="E233" t="s">
        <v>115</v>
      </c>
      <c r="F233" t="s">
        <v>13</v>
      </c>
      <c r="G233" t="s">
        <v>14</v>
      </c>
      <c r="H233">
        <v>276270544</v>
      </c>
      <c r="I233">
        <v>14051306</v>
      </c>
    </row>
    <row r="234" spans="1:9" x14ac:dyDescent="0.35">
      <c r="A234" s="1">
        <v>12</v>
      </c>
      <c r="B234">
        <v>39925</v>
      </c>
      <c r="C234" t="str">
        <f t="shared" si="3"/>
        <v>1239925</v>
      </c>
      <c r="D234">
        <v>124523</v>
      </c>
      <c r="E234" t="s">
        <v>191</v>
      </c>
      <c r="F234" t="s">
        <v>129</v>
      </c>
      <c r="G234" t="s">
        <v>130</v>
      </c>
      <c r="H234">
        <v>240077138</v>
      </c>
      <c r="I234">
        <v>3923788</v>
      </c>
    </row>
    <row r="235" spans="1:9" x14ac:dyDescent="0.35">
      <c r="A235" s="1">
        <v>40</v>
      </c>
      <c r="B235">
        <v>52500</v>
      </c>
      <c r="C235" t="str">
        <f t="shared" si="3"/>
        <v>4052500</v>
      </c>
      <c r="D235">
        <v>124086</v>
      </c>
      <c r="E235" t="s">
        <v>34</v>
      </c>
      <c r="F235" t="s">
        <v>35</v>
      </c>
      <c r="G235" t="s">
        <v>36</v>
      </c>
      <c r="H235">
        <v>463028343</v>
      </c>
      <c r="I235">
        <v>27321811</v>
      </c>
    </row>
    <row r="236" spans="1:9" x14ac:dyDescent="0.35">
      <c r="A236" s="1">
        <v>38</v>
      </c>
      <c r="B236">
        <v>25700</v>
      </c>
      <c r="C236" t="str">
        <f t="shared" si="3"/>
        <v>3825700</v>
      </c>
      <c r="D236">
        <v>123550</v>
      </c>
      <c r="E236" t="s">
        <v>174</v>
      </c>
      <c r="F236" t="s">
        <v>175</v>
      </c>
      <c r="G236" t="s">
        <v>176</v>
      </c>
      <c r="H236">
        <v>128990603</v>
      </c>
      <c r="I236">
        <v>1316</v>
      </c>
    </row>
    <row r="237" spans="1:9" x14ac:dyDescent="0.35">
      <c r="A237" s="1" t="s">
        <v>581</v>
      </c>
      <c r="B237">
        <v>6000</v>
      </c>
      <c r="C237" t="str">
        <f t="shared" si="3"/>
        <v>066000</v>
      </c>
      <c r="D237">
        <v>123065</v>
      </c>
      <c r="E237" t="s">
        <v>239</v>
      </c>
      <c r="F237" t="s">
        <v>143</v>
      </c>
      <c r="G237" t="s">
        <v>144</v>
      </c>
      <c r="H237">
        <v>27018309</v>
      </c>
      <c r="I237">
        <v>18712737</v>
      </c>
    </row>
    <row r="238" spans="1:9" x14ac:dyDescent="0.35">
      <c r="A238" s="1" t="s">
        <v>581</v>
      </c>
      <c r="B238">
        <v>82590</v>
      </c>
      <c r="C238" t="str">
        <f t="shared" si="3"/>
        <v>0682590</v>
      </c>
      <c r="D238">
        <v>122958</v>
      </c>
      <c r="E238" t="s">
        <v>406</v>
      </c>
      <c r="F238" t="s">
        <v>143</v>
      </c>
      <c r="G238" t="s">
        <v>144</v>
      </c>
      <c r="H238">
        <v>190908178</v>
      </c>
      <c r="I238">
        <v>744967</v>
      </c>
    </row>
    <row r="239" spans="1:9" x14ac:dyDescent="0.35">
      <c r="A239" s="1">
        <v>29</v>
      </c>
      <c r="B239">
        <v>15670</v>
      </c>
      <c r="C239" t="str">
        <f t="shared" si="3"/>
        <v>2915670</v>
      </c>
      <c r="D239">
        <v>122659</v>
      </c>
      <c r="E239" t="s">
        <v>53</v>
      </c>
      <c r="F239" t="s">
        <v>177</v>
      </c>
      <c r="G239" t="s">
        <v>178</v>
      </c>
      <c r="H239">
        <v>172326953</v>
      </c>
      <c r="I239">
        <v>719818</v>
      </c>
    </row>
    <row r="240" spans="1:9" x14ac:dyDescent="0.35">
      <c r="A240" s="1">
        <v>48</v>
      </c>
      <c r="B240">
        <v>53388</v>
      </c>
      <c r="C240" t="str">
        <f t="shared" si="3"/>
        <v>4853388</v>
      </c>
      <c r="D240">
        <v>122630</v>
      </c>
      <c r="E240" t="s">
        <v>26</v>
      </c>
      <c r="F240" t="s">
        <v>13</v>
      </c>
      <c r="G240" t="s">
        <v>14</v>
      </c>
      <c r="H240">
        <v>132297894</v>
      </c>
      <c r="I240">
        <v>723601</v>
      </c>
    </row>
    <row r="241" spans="1:9" x14ac:dyDescent="0.35">
      <c r="A241" s="1" t="s">
        <v>587</v>
      </c>
      <c r="B241">
        <v>37000</v>
      </c>
      <c r="C241" t="str">
        <f t="shared" si="3"/>
        <v>0937000</v>
      </c>
      <c r="D241">
        <v>122549</v>
      </c>
      <c r="E241" t="s">
        <v>381</v>
      </c>
      <c r="F241" t="s">
        <v>364</v>
      </c>
      <c r="G241" t="s">
        <v>365</v>
      </c>
      <c r="H241">
        <v>45012647</v>
      </c>
      <c r="I241">
        <v>1751553</v>
      </c>
    </row>
    <row r="242" spans="1:9" x14ac:dyDescent="0.35">
      <c r="A242" s="1">
        <v>37</v>
      </c>
      <c r="B242">
        <v>74440</v>
      </c>
      <c r="C242" t="str">
        <f t="shared" si="3"/>
        <v>3774440</v>
      </c>
      <c r="D242">
        <v>122162</v>
      </c>
      <c r="E242" t="s">
        <v>356</v>
      </c>
      <c r="F242" t="s">
        <v>317</v>
      </c>
      <c r="G242" t="s">
        <v>318</v>
      </c>
      <c r="H242">
        <v>133138589</v>
      </c>
      <c r="I242">
        <v>4050494</v>
      </c>
    </row>
    <row r="243" spans="1:9" x14ac:dyDescent="0.35">
      <c r="A243" s="1" t="s">
        <v>581</v>
      </c>
      <c r="B243">
        <v>81666</v>
      </c>
      <c r="C243" t="str">
        <f t="shared" si="3"/>
        <v>0681666</v>
      </c>
      <c r="D243">
        <v>121275</v>
      </c>
      <c r="E243" t="s">
        <v>405</v>
      </c>
      <c r="F243" t="s">
        <v>143</v>
      </c>
      <c r="G243" t="s">
        <v>144</v>
      </c>
      <c r="H243">
        <v>78788150</v>
      </c>
      <c r="I243">
        <v>46317409</v>
      </c>
    </row>
    <row r="244" spans="1:9" x14ac:dyDescent="0.35">
      <c r="A244" s="1">
        <v>42</v>
      </c>
      <c r="B244">
        <v>2000</v>
      </c>
      <c r="C244" t="str">
        <f t="shared" si="3"/>
        <v>422000</v>
      </c>
      <c r="D244">
        <v>121156</v>
      </c>
      <c r="E244" t="s">
        <v>21</v>
      </c>
      <c r="F244" t="s">
        <v>22</v>
      </c>
      <c r="G244" t="s">
        <v>23</v>
      </c>
      <c r="H244">
        <v>45465042</v>
      </c>
      <c r="I244">
        <v>1138925</v>
      </c>
    </row>
    <row r="245" spans="1:9" x14ac:dyDescent="0.35">
      <c r="A245" s="1">
        <v>26</v>
      </c>
      <c r="B245">
        <v>3000</v>
      </c>
      <c r="C245" t="str">
        <f t="shared" si="3"/>
        <v>263000</v>
      </c>
      <c r="D245">
        <v>121093</v>
      </c>
      <c r="E245" t="s">
        <v>168</v>
      </c>
      <c r="F245" t="s">
        <v>169</v>
      </c>
      <c r="G245" t="s">
        <v>170</v>
      </c>
      <c r="H245">
        <v>73037477</v>
      </c>
      <c r="I245">
        <v>2252075</v>
      </c>
    </row>
    <row r="246" spans="1:9" x14ac:dyDescent="0.35">
      <c r="A246" s="1" t="s">
        <v>581</v>
      </c>
      <c r="B246">
        <v>20802</v>
      </c>
      <c r="C246" t="str">
        <f t="shared" si="3"/>
        <v>0620802</v>
      </c>
      <c r="D246">
        <v>120504</v>
      </c>
      <c r="E246" t="s">
        <v>358</v>
      </c>
      <c r="F246" t="s">
        <v>143</v>
      </c>
      <c r="G246" t="s">
        <v>144</v>
      </c>
      <c r="H246">
        <v>19303561</v>
      </c>
      <c r="I246">
        <v>11013</v>
      </c>
    </row>
    <row r="247" spans="1:9" x14ac:dyDescent="0.35">
      <c r="A247" s="1" t="s">
        <v>583</v>
      </c>
      <c r="B247">
        <v>3455</v>
      </c>
      <c r="C247" t="str">
        <f t="shared" si="3"/>
        <v>083455</v>
      </c>
      <c r="D247">
        <v>120229</v>
      </c>
      <c r="E247" t="s">
        <v>242</v>
      </c>
      <c r="F247" t="s">
        <v>243</v>
      </c>
      <c r="G247" t="s">
        <v>244</v>
      </c>
      <c r="H247">
        <v>100776151</v>
      </c>
      <c r="I247">
        <v>1709022</v>
      </c>
    </row>
    <row r="248" spans="1:9" x14ac:dyDescent="0.35">
      <c r="A248" s="1">
        <v>48</v>
      </c>
      <c r="B248">
        <v>61796</v>
      </c>
      <c r="C248" t="str">
        <f t="shared" si="3"/>
        <v>4861796</v>
      </c>
      <c r="D248">
        <v>118583</v>
      </c>
      <c r="E248" t="s">
        <v>56</v>
      </c>
      <c r="F248" t="s">
        <v>13</v>
      </c>
      <c r="G248" t="s">
        <v>14</v>
      </c>
      <c r="H248">
        <v>73986154</v>
      </c>
      <c r="I248">
        <v>234253</v>
      </c>
    </row>
    <row r="249" spans="1:9" x14ac:dyDescent="0.35">
      <c r="A249" s="1">
        <v>48</v>
      </c>
      <c r="B249">
        <v>70808</v>
      </c>
      <c r="C249" t="str">
        <f t="shared" si="3"/>
        <v>4870808</v>
      </c>
      <c r="D249">
        <v>118563</v>
      </c>
      <c r="E249" t="s">
        <v>85</v>
      </c>
      <c r="F249" t="s">
        <v>13</v>
      </c>
      <c r="G249" t="s">
        <v>14</v>
      </c>
      <c r="H249">
        <v>104811332</v>
      </c>
      <c r="I249">
        <v>6305629</v>
      </c>
    </row>
    <row r="250" spans="1:9" x14ac:dyDescent="0.35">
      <c r="A250" s="1">
        <v>18</v>
      </c>
      <c r="B250">
        <v>22000</v>
      </c>
      <c r="C250" t="str">
        <f t="shared" si="3"/>
        <v>1822000</v>
      </c>
      <c r="D250">
        <v>118414</v>
      </c>
      <c r="E250" t="s">
        <v>257</v>
      </c>
      <c r="F250" t="s">
        <v>184</v>
      </c>
      <c r="G250" t="s">
        <v>185</v>
      </c>
      <c r="H250">
        <v>122648924</v>
      </c>
      <c r="I250">
        <v>1280018</v>
      </c>
    </row>
    <row r="251" spans="1:9" x14ac:dyDescent="0.35">
      <c r="A251" s="1">
        <v>25</v>
      </c>
      <c r="B251">
        <v>11000</v>
      </c>
      <c r="C251" t="str">
        <f t="shared" si="3"/>
        <v>2511000</v>
      </c>
      <c r="D251">
        <v>117822</v>
      </c>
      <c r="E251" t="s">
        <v>207</v>
      </c>
      <c r="F251" t="s">
        <v>205</v>
      </c>
      <c r="G251" t="s">
        <v>206</v>
      </c>
      <c r="H251">
        <v>16558895</v>
      </c>
      <c r="I251">
        <v>1830835</v>
      </c>
    </row>
    <row r="252" spans="1:9" x14ac:dyDescent="0.35">
      <c r="A252" s="1">
        <v>26</v>
      </c>
      <c r="B252">
        <v>46000</v>
      </c>
      <c r="C252" t="str">
        <f t="shared" si="3"/>
        <v>2646000</v>
      </c>
      <c r="D252">
        <v>117488</v>
      </c>
      <c r="E252" t="s">
        <v>281</v>
      </c>
      <c r="F252" t="s">
        <v>169</v>
      </c>
      <c r="G252" t="s">
        <v>170</v>
      </c>
      <c r="H252">
        <v>101381374</v>
      </c>
      <c r="I252">
        <v>1652168</v>
      </c>
    </row>
    <row r="253" spans="1:9" x14ac:dyDescent="0.35">
      <c r="A253" s="1">
        <v>48</v>
      </c>
      <c r="B253">
        <v>7000</v>
      </c>
      <c r="C253" t="str">
        <f t="shared" si="3"/>
        <v>487000</v>
      </c>
      <c r="D253">
        <v>117321</v>
      </c>
      <c r="E253" t="s">
        <v>12</v>
      </c>
      <c r="F253" t="s">
        <v>13</v>
      </c>
      <c r="G253" t="s">
        <v>14</v>
      </c>
      <c r="H253">
        <v>213595782</v>
      </c>
      <c r="I253">
        <v>7132405</v>
      </c>
    </row>
    <row r="254" spans="1:9" x14ac:dyDescent="0.35">
      <c r="A254" s="1">
        <v>29</v>
      </c>
      <c r="B254">
        <v>35000</v>
      </c>
      <c r="C254" t="str">
        <f t="shared" si="3"/>
        <v>2935000</v>
      </c>
      <c r="D254">
        <v>117139</v>
      </c>
      <c r="E254" t="s">
        <v>179</v>
      </c>
      <c r="F254" t="s">
        <v>177</v>
      </c>
      <c r="G254" t="s">
        <v>178</v>
      </c>
      <c r="H254">
        <v>201986455</v>
      </c>
      <c r="I254">
        <v>1169739</v>
      </c>
    </row>
    <row r="255" spans="1:9" x14ac:dyDescent="0.35">
      <c r="A255" s="1">
        <v>27</v>
      </c>
      <c r="B255">
        <v>54880</v>
      </c>
      <c r="C255" t="str">
        <f t="shared" si="3"/>
        <v>2754880</v>
      </c>
      <c r="D255">
        <v>117134</v>
      </c>
      <c r="E255" t="s">
        <v>294</v>
      </c>
      <c r="F255" t="s">
        <v>400</v>
      </c>
      <c r="G255" t="s">
        <v>401</v>
      </c>
      <c r="H255">
        <v>143735206</v>
      </c>
      <c r="I255">
        <v>750094</v>
      </c>
    </row>
    <row r="256" spans="1:9" x14ac:dyDescent="0.35">
      <c r="A256" s="1">
        <v>49</v>
      </c>
      <c r="B256">
        <v>62470</v>
      </c>
      <c r="C256" t="str">
        <f t="shared" si="3"/>
        <v>4962470</v>
      </c>
      <c r="D256">
        <v>116886</v>
      </c>
      <c r="E256" t="s">
        <v>27</v>
      </c>
      <c r="F256" t="s">
        <v>28</v>
      </c>
      <c r="G256" t="s">
        <v>29</v>
      </c>
      <c r="H256">
        <v>107969730</v>
      </c>
      <c r="I256">
        <v>6474977</v>
      </c>
    </row>
    <row r="257" spans="1:9" x14ac:dyDescent="0.35">
      <c r="A257" s="1" t="s">
        <v>581</v>
      </c>
      <c r="B257">
        <v>23182</v>
      </c>
      <c r="C257" t="str">
        <f t="shared" si="3"/>
        <v>0623182</v>
      </c>
      <c r="D257">
        <v>116544</v>
      </c>
      <c r="E257" t="s">
        <v>377</v>
      </c>
      <c r="F257" t="s">
        <v>143</v>
      </c>
      <c r="G257" t="s">
        <v>144</v>
      </c>
      <c r="H257">
        <v>107719392</v>
      </c>
      <c r="I257">
        <v>738306</v>
      </c>
    </row>
    <row r="258" spans="1:9" x14ac:dyDescent="0.35">
      <c r="A258" s="1">
        <v>12</v>
      </c>
      <c r="B258">
        <v>12875</v>
      </c>
      <c r="C258" t="str">
        <f t="shared" si="3"/>
        <v>1212875</v>
      </c>
      <c r="D258">
        <v>115975</v>
      </c>
      <c r="E258" t="s">
        <v>199</v>
      </c>
      <c r="F258" t="s">
        <v>129</v>
      </c>
      <c r="G258" t="s">
        <v>130</v>
      </c>
      <c r="H258">
        <v>67555202</v>
      </c>
      <c r="I258">
        <v>25359992</v>
      </c>
    </row>
    <row r="259" spans="1:9" x14ac:dyDescent="0.35">
      <c r="A259" s="1">
        <v>12</v>
      </c>
      <c r="B259">
        <v>8150</v>
      </c>
      <c r="C259" t="str">
        <f t="shared" ref="C259:C322" si="4">CONCATENATE(A259,B259)</f>
        <v>128150</v>
      </c>
      <c r="D259">
        <v>115909</v>
      </c>
      <c r="E259" t="s">
        <v>190</v>
      </c>
      <c r="F259" t="s">
        <v>129</v>
      </c>
      <c r="G259" t="s">
        <v>130</v>
      </c>
      <c r="H259">
        <v>85831410</v>
      </c>
      <c r="I259">
        <v>4810337</v>
      </c>
    </row>
    <row r="260" spans="1:9" x14ac:dyDescent="0.35">
      <c r="A260" s="1">
        <v>48</v>
      </c>
      <c r="B260">
        <v>15976</v>
      </c>
      <c r="C260" t="str">
        <f t="shared" si="4"/>
        <v>4815976</v>
      </c>
      <c r="D260">
        <v>115802</v>
      </c>
      <c r="E260" t="s">
        <v>31</v>
      </c>
      <c r="F260" t="s">
        <v>13</v>
      </c>
      <c r="G260" t="s">
        <v>14</v>
      </c>
      <c r="H260">
        <v>132502053</v>
      </c>
      <c r="I260">
        <v>369349</v>
      </c>
    </row>
    <row r="261" spans="1:9" x14ac:dyDescent="0.35">
      <c r="A261" s="1">
        <v>49</v>
      </c>
      <c r="B261">
        <v>82950</v>
      </c>
      <c r="C261" t="str">
        <f t="shared" si="4"/>
        <v>4982950</v>
      </c>
      <c r="D261">
        <v>115181</v>
      </c>
      <c r="E261" t="s">
        <v>40</v>
      </c>
      <c r="F261" t="s">
        <v>28</v>
      </c>
      <c r="G261" t="s">
        <v>29</v>
      </c>
      <c r="H261">
        <v>83731212</v>
      </c>
      <c r="I261">
        <v>0</v>
      </c>
    </row>
    <row r="262" spans="1:9" x14ac:dyDescent="0.35">
      <c r="A262" s="1">
        <v>17</v>
      </c>
      <c r="B262">
        <v>72000</v>
      </c>
      <c r="C262" t="str">
        <f t="shared" si="4"/>
        <v>1772000</v>
      </c>
      <c r="D262">
        <v>115075</v>
      </c>
      <c r="E262" t="s">
        <v>165</v>
      </c>
      <c r="F262" t="s">
        <v>166</v>
      </c>
      <c r="G262" t="s">
        <v>167</v>
      </c>
      <c r="H262">
        <v>158345784</v>
      </c>
      <c r="I262">
        <v>16319944</v>
      </c>
    </row>
    <row r="263" spans="1:9" x14ac:dyDescent="0.35">
      <c r="A263" s="1" t="s">
        <v>583</v>
      </c>
      <c r="B263">
        <v>83835</v>
      </c>
      <c r="C263" t="str">
        <f t="shared" si="4"/>
        <v>0883835</v>
      </c>
      <c r="D263">
        <v>114832</v>
      </c>
      <c r="E263" t="s">
        <v>397</v>
      </c>
      <c r="F263" t="s">
        <v>243</v>
      </c>
      <c r="G263" t="s">
        <v>244</v>
      </c>
      <c r="H263">
        <v>81805754</v>
      </c>
      <c r="I263">
        <v>5989548</v>
      </c>
    </row>
    <row r="264" spans="1:9" x14ac:dyDescent="0.35">
      <c r="A264" s="1">
        <v>48</v>
      </c>
      <c r="B264">
        <v>72656</v>
      </c>
      <c r="C264" t="str">
        <f t="shared" si="4"/>
        <v>4872656</v>
      </c>
      <c r="D264">
        <v>114532</v>
      </c>
      <c r="E264" t="s">
        <v>86</v>
      </c>
      <c r="F264" t="s">
        <v>13</v>
      </c>
      <c r="G264" t="s">
        <v>14</v>
      </c>
      <c r="H264">
        <v>112245571</v>
      </c>
      <c r="I264">
        <v>1353716</v>
      </c>
    </row>
    <row r="265" spans="1:9" x14ac:dyDescent="0.35">
      <c r="A265" s="1" t="s">
        <v>581</v>
      </c>
      <c r="B265">
        <v>11194</v>
      </c>
      <c r="C265" t="str">
        <f t="shared" si="4"/>
        <v>0611194</v>
      </c>
      <c r="D265">
        <v>114411</v>
      </c>
      <c r="E265" t="s">
        <v>288</v>
      </c>
      <c r="F265" t="s">
        <v>143</v>
      </c>
      <c r="G265" t="s">
        <v>144</v>
      </c>
      <c r="H265">
        <v>97832258</v>
      </c>
      <c r="I265">
        <v>3378580</v>
      </c>
    </row>
    <row r="266" spans="1:9" x14ac:dyDescent="0.35">
      <c r="A266" s="1" t="s">
        <v>581</v>
      </c>
      <c r="B266">
        <v>50076</v>
      </c>
      <c r="C266" t="str">
        <f t="shared" si="4"/>
        <v>0650076</v>
      </c>
      <c r="D266">
        <v>114066</v>
      </c>
      <c r="E266" t="s">
        <v>240</v>
      </c>
      <c r="F266" t="s">
        <v>143</v>
      </c>
      <c r="G266" t="s">
        <v>144</v>
      </c>
      <c r="H266">
        <v>87054765</v>
      </c>
      <c r="I266">
        <v>93770</v>
      </c>
    </row>
    <row r="267" spans="1:9" x14ac:dyDescent="0.35">
      <c r="A267" s="1" t="s">
        <v>581</v>
      </c>
      <c r="B267">
        <v>22230</v>
      </c>
      <c r="C267" t="str">
        <f t="shared" si="4"/>
        <v>0622230</v>
      </c>
      <c r="D267">
        <v>113917</v>
      </c>
      <c r="E267" t="s">
        <v>361</v>
      </c>
      <c r="F267" t="s">
        <v>143</v>
      </c>
      <c r="G267" t="s">
        <v>144</v>
      </c>
      <c r="H267">
        <v>24752904</v>
      </c>
      <c r="I267">
        <v>221652</v>
      </c>
    </row>
    <row r="268" spans="1:9" x14ac:dyDescent="0.35">
      <c r="A268" s="1">
        <v>45</v>
      </c>
      <c r="B268">
        <v>50875</v>
      </c>
      <c r="C268" t="str">
        <f t="shared" si="4"/>
        <v>4550875</v>
      </c>
      <c r="D268">
        <v>113880</v>
      </c>
      <c r="E268" t="s">
        <v>82</v>
      </c>
      <c r="F268" t="s">
        <v>51</v>
      </c>
      <c r="G268" t="s">
        <v>52</v>
      </c>
      <c r="H268">
        <v>201028984</v>
      </c>
      <c r="I268">
        <v>8904291</v>
      </c>
    </row>
    <row r="269" spans="1:9" x14ac:dyDescent="0.35">
      <c r="A269" s="1">
        <v>12</v>
      </c>
      <c r="B269">
        <v>54000</v>
      </c>
      <c r="C269" t="str">
        <f t="shared" si="4"/>
        <v>1254000</v>
      </c>
      <c r="D269">
        <v>113751</v>
      </c>
      <c r="E269" t="s">
        <v>228</v>
      </c>
      <c r="F269" t="s">
        <v>129</v>
      </c>
      <c r="G269" t="s">
        <v>130</v>
      </c>
      <c r="H269">
        <v>223820939</v>
      </c>
      <c r="I269">
        <v>8228618</v>
      </c>
    </row>
    <row r="270" spans="1:9" x14ac:dyDescent="0.35">
      <c r="A270" s="1">
        <v>12</v>
      </c>
      <c r="B270">
        <v>68350</v>
      </c>
      <c r="C270" t="str">
        <f t="shared" si="4"/>
        <v>1268350</v>
      </c>
      <c r="D270">
        <v>113742</v>
      </c>
      <c r="E270" t="s">
        <v>158</v>
      </c>
      <c r="F270" t="s">
        <v>129</v>
      </c>
      <c r="G270" t="s">
        <v>130</v>
      </c>
      <c r="H270">
        <v>155187327</v>
      </c>
      <c r="I270">
        <v>6171121</v>
      </c>
    </row>
    <row r="271" spans="1:9" x14ac:dyDescent="0.35">
      <c r="A271" s="1" t="s">
        <v>581</v>
      </c>
      <c r="B271">
        <v>78120</v>
      </c>
      <c r="C271" t="str">
        <f t="shared" si="4"/>
        <v>0678120</v>
      </c>
      <c r="D271">
        <v>113117</v>
      </c>
      <c r="E271" t="s">
        <v>393</v>
      </c>
      <c r="F271" t="s">
        <v>143</v>
      </c>
      <c r="G271" t="s">
        <v>144</v>
      </c>
      <c r="H271">
        <v>96522049</v>
      </c>
      <c r="I271">
        <v>24934</v>
      </c>
    </row>
    <row r="272" spans="1:9" x14ac:dyDescent="0.35">
      <c r="A272" s="1" t="s">
        <v>581</v>
      </c>
      <c r="B272">
        <v>16532</v>
      </c>
      <c r="C272" t="str">
        <f t="shared" si="4"/>
        <v>0616532</v>
      </c>
      <c r="D272">
        <v>112958</v>
      </c>
      <c r="E272" t="s">
        <v>327</v>
      </c>
      <c r="F272" t="s">
        <v>143</v>
      </c>
      <c r="G272" t="s">
        <v>144</v>
      </c>
      <c r="H272">
        <v>40937896</v>
      </c>
      <c r="I272">
        <v>24554</v>
      </c>
    </row>
    <row r="273" spans="1:9" x14ac:dyDescent="0.35">
      <c r="A273" s="1" t="s">
        <v>581</v>
      </c>
      <c r="B273">
        <v>14218</v>
      </c>
      <c r="C273" t="str">
        <f t="shared" si="4"/>
        <v>0614218</v>
      </c>
      <c r="D273">
        <v>112663</v>
      </c>
      <c r="E273" t="s">
        <v>299</v>
      </c>
      <c r="F273" t="s">
        <v>143</v>
      </c>
      <c r="G273" t="s">
        <v>144</v>
      </c>
      <c r="H273">
        <v>65823951</v>
      </c>
      <c r="I273">
        <v>309836</v>
      </c>
    </row>
    <row r="274" spans="1:9" x14ac:dyDescent="0.35">
      <c r="A274" s="1">
        <v>17</v>
      </c>
      <c r="B274">
        <v>59000</v>
      </c>
      <c r="C274" t="str">
        <f t="shared" si="4"/>
        <v>1759000</v>
      </c>
      <c r="D274">
        <v>112644</v>
      </c>
      <c r="E274" t="s">
        <v>353</v>
      </c>
      <c r="F274" t="s">
        <v>166</v>
      </c>
      <c r="G274" t="s">
        <v>167</v>
      </c>
      <c r="H274">
        <v>124228280</v>
      </c>
      <c r="I274">
        <v>6217236</v>
      </c>
    </row>
    <row r="275" spans="1:9" x14ac:dyDescent="0.35">
      <c r="A275" s="1">
        <v>33</v>
      </c>
      <c r="B275">
        <v>45140</v>
      </c>
      <c r="C275" t="str">
        <f t="shared" si="4"/>
        <v>3345140</v>
      </c>
      <c r="D275">
        <v>112441</v>
      </c>
      <c r="E275" t="s">
        <v>285</v>
      </c>
      <c r="F275" t="s">
        <v>286</v>
      </c>
      <c r="G275" t="s">
        <v>287</v>
      </c>
      <c r="H275">
        <v>85663872</v>
      </c>
      <c r="I275">
        <v>4821088</v>
      </c>
    </row>
    <row r="276" spans="1:9" x14ac:dyDescent="0.35">
      <c r="A276" s="1">
        <v>37</v>
      </c>
      <c r="B276">
        <v>31400</v>
      </c>
      <c r="C276" t="str">
        <f t="shared" si="4"/>
        <v>3731400</v>
      </c>
      <c r="D276">
        <v>112434</v>
      </c>
      <c r="E276" t="s">
        <v>338</v>
      </c>
      <c r="F276" t="s">
        <v>317</v>
      </c>
      <c r="G276" t="s">
        <v>318</v>
      </c>
      <c r="H276">
        <v>145983385</v>
      </c>
      <c r="I276">
        <v>3943855</v>
      </c>
    </row>
    <row r="277" spans="1:9" x14ac:dyDescent="0.35">
      <c r="A277" s="1">
        <v>17</v>
      </c>
      <c r="B277">
        <v>23074</v>
      </c>
      <c r="C277" t="str">
        <f t="shared" si="4"/>
        <v>1723074</v>
      </c>
      <c r="D277">
        <v>112062</v>
      </c>
      <c r="E277" t="s">
        <v>188</v>
      </c>
      <c r="F277" t="s">
        <v>166</v>
      </c>
      <c r="G277" t="s">
        <v>167</v>
      </c>
      <c r="H277">
        <v>98488542</v>
      </c>
      <c r="I277">
        <v>1485141</v>
      </c>
    </row>
    <row r="278" spans="1:9" x14ac:dyDescent="0.35">
      <c r="A278" s="1" t="s">
        <v>583</v>
      </c>
      <c r="B278">
        <v>62000</v>
      </c>
      <c r="C278" t="str">
        <f t="shared" si="4"/>
        <v>0862000</v>
      </c>
      <c r="D278">
        <v>111776</v>
      </c>
      <c r="E278" t="s">
        <v>366</v>
      </c>
      <c r="F278" t="s">
        <v>243</v>
      </c>
      <c r="G278" t="s">
        <v>244</v>
      </c>
      <c r="H278">
        <v>143439208</v>
      </c>
      <c r="I278">
        <v>1815345</v>
      </c>
    </row>
    <row r="279" spans="1:9" x14ac:dyDescent="0.35">
      <c r="A279" s="1" t="s">
        <v>581</v>
      </c>
      <c r="B279">
        <v>2252</v>
      </c>
      <c r="C279" t="str">
        <f t="shared" si="4"/>
        <v>062252</v>
      </c>
      <c r="D279">
        <v>111468</v>
      </c>
      <c r="E279" t="s">
        <v>219</v>
      </c>
      <c r="F279" t="s">
        <v>143</v>
      </c>
      <c r="G279" t="s">
        <v>144</v>
      </c>
      <c r="H279">
        <v>75552859</v>
      </c>
      <c r="I279">
        <v>1995937</v>
      </c>
    </row>
    <row r="280" spans="1:9" x14ac:dyDescent="0.35">
      <c r="A280" s="1" t="s">
        <v>583</v>
      </c>
      <c r="B280">
        <v>12815</v>
      </c>
      <c r="C280" t="str">
        <f t="shared" si="4"/>
        <v>0812815</v>
      </c>
      <c r="D280">
        <v>111331</v>
      </c>
      <c r="E280" t="s">
        <v>270</v>
      </c>
      <c r="F280" t="s">
        <v>243</v>
      </c>
      <c r="G280" t="s">
        <v>244</v>
      </c>
      <c r="H280">
        <v>76976177</v>
      </c>
      <c r="I280">
        <v>379304</v>
      </c>
    </row>
    <row r="281" spans="1:9" x14ac:dyDescent="0.35">
      <c r="A281" s="1">
        <v>25</v>
      </c>
      <c r="B281">
        <v>37000</v>
      </c>
      <c r="C281" t="str">
        <f t="shared" si="4"/>
        <v>2537000</v>
      </c>
      <c r="D281">
        <v>111311</v>
      </c>
      <c r="E281" t="s">
        <v>208</v>
      </c>
      <c r="F281" t="s">
        <v>205</v>
      </c>
      <c r="G281" t="s">
        <v>206</v>
      </c>
      <c r="H281">
        <v>35251105</v>
      </c>
      <c r="I281">
        <v>2379103</v>
      </c>
    </row>
    <row r="282" spans="1:9" x14ac:dyDescent="0.35">
      <c r="A282" s="1" t="s">
        <v>581</v>
      </c>
      <c r="B282">
        <v>19766</v>
      </c>
      <c r="C282" t="str">
        <f t="shared" si="4"/>
        <v>0619766</v>
      </c>
      <c r="D282">
        <v>111263</v>
      </c>
      <c r="E282" t="s">
        <v>340</v>
      </c>
      <c r="F282" t="s">
        <v>143</v>
      </c>
      <c r="G282" t="s">
        <v>144</v>
      </c>
      <c r="H282">
        <v>32138031</v>
      </c>
      <c r="I282">
        <v>415895</v>
      </c>
    </row>
    <row r="283" spans="1:9" x14ac:dyDescent="0.35">
      <c r="A283" s="1">
        <v>12</v>
      </c>
      <c r="B283">
        <v>58050</v>
      </c>
      <c r="C283" t="str">
        <f t="shared" si="4"/>
        <v>1258050</v>
      </c>
      <c r="D283">
        <v>111202</v>
      </c>
      <c r="E283" t="s">
        <v>250</v>
      </c>
      <c r="F283" t="s">
        <v>129</v>
      </c>
      <c r="G283" t="s">
        <v>130</v>
      </c>
      <c r="H283">
        <v>62216264</v>
      </c>
      <c r="I283">
        <v>1741020</v>
      </c>
    </row>
    <row r="284" spans="1:9" x14ac:dyDescent="0.35">
      <c r="A284" s="1">
        <v>12</v>
      </c>
      <c r="B284">
        <v>76600</v>
      </c>
      <c r="C284" t="str">
        <f t="shared" si="4"/>
        <v>1276600</v>
      </c>
      <c r="D284">
        <v>111006</v>
      </c>
      <c r="E284" t="s">
        <v>192</v>
      </c>
      <c r="F284" t="s">
        <v>129</v>
      </c>
      <c r="G284" t="s">
        <v>130</v>
      </c>
      <c r="H284">
        <v>139389655</v>
      </c>
      <c r="I284">
        <v>10789183</v>
      </c>
    </row>
    <row r="285" spans="1:9" x14ac:dyDescent="0.35">
      <c r="A285" s="1">
        <v>53</v>
      </c>
      <c r="B285">
        <v>22640</v>
      </c>
      <c r="C285" t="str">
        <f t="shared" si="4"/>
        <v>5322640</v>
      </c>
      <c r="D285">
        <v>110840</v>
      </c>
      <c r="E285" t="s">
        <v>54</v>
      </c>
      <c r="F285" t="s">
        <v>43</v>
      </c>
      <c r="G285" t="s">
        <v>44</v>
      </c>
      <c r="H285">
        <v>85964420</v>
      </c>
      <c r="I285">
        <v>38111441</v>
      </c>
    </row>
    <row r="286" spans="1:9" x14ac:dyDescent="0.35">
      <c r="A286" s="1">
        <v>12</v>
      </c>
      <c r="B286">
        <v>45060</v>
      </c>
      <c r="C286" t="str">
        <f t="shared" si="4"/>
        <v>1245060</v>
      </c>
      <c r="D286">
        <v>110767</v>
      </c>
      <c r="E286" t="s">
        <v>201</v>
      </c>
      <c r="F286" t="s">
        <v>129</v>
      </c>
      <c r="G286" t="s">
        <v>130</v>
      </c>
      <c r="H286">
        <v>47212027</v>
      </c>
      <c r="I286">
        <v>2001197</v>
      </c>
    </row>
    <row r="287" spans="1:9" x14ac:dyDescent="0.35">
      <c r="A287" s="1">
        <v>41</v>
      </c>
      <c r="B287">
        <v>31250</v>
      </c>
      <c r="C287" t="str">
        <f t="shared" si="4"/>
        <v>4131250</v>
      </c>
      <c r="D287">
        <v>110456</v>
      </c>
      <c r="E287" t="s">
        <v>97</v>
      </c>
      <c r="F287" t="s">
        <v>95</v>
      </c>
      <c r="G287" t="s">
        <v>96</v>
      </c>
      <c r="H287">
        <v>60780959</v>
      </c>
      <c r="I287">
        <v>451976</v>
      </c>
    </row>
    <row r="288" spans="1:9" x14ac:dyDescent="0.35">
      <c r="A288" s="1">
        <v>12</v>
      </c>
      <c r="B288">
        <v>38250</v>
      </c>
      <c r="C288" t="str">
        <f t="shared" si="4"/>
        <v>1238250</v>
      </c>
      <c r="D288">
        <v>110335</v>
      </c>
      <c r="E288" t="s">
        <v>181</v>
      </c>
      <c r="F288" t="s">
        <v>129</v>
      </c>
      <c r="G288" t="s">
        <v>130</v>
      </c>
      <c r="H288">
        <v>171337108</v>
      </c>
      <c r="I288">
        <v>23332521</v>
      </c>
    </row>
    <row r="289" spans="1:9" x14ac:dyDescent="0.35">
      <c r="A289" s="1" t="s">
        <v>581</v>
      </c>
      <c r="B289">
        <v>60620</v>
      </c>
      <c r="C289" t="str">
        <f t="shared" si="4"/>
        <v>0660620</v>
      </c>
      <c r="D289">
        <v>110051</v>
      </c>
      <c r="E289" t="s">
        <v>9</v>
      </c>
      <c r="F289" t="s">
        <v>143</v>
      </c>
      <c r="G289" t="s">
        <v>144</v>
      </c>
      <c r="H289">
        <v>77840004</v>
      </c>
      <c r="I289">
        <v>58164107</v>
      </c>
    </row>
    <row r="290" spans="1:9" x14ac:dyDescent="0.35">
      <c r="A290" s="1">
        <v>72</v>
      </c>
      <c r="B290">
        <v>63820</v>
      </c>
      <c r="C290" t="str">
        <f t="shared" si="4"/>
        <v>7263820</v>
      </c>
      <c r="D290">
        <v>109930</v>
      </c>
      <c r="E290" t="s">
        <v>103</v>
      </c>
      <c r="F290" t="s">
        <v>79</v>
      </c>
      <c r="G290" t="s">
        <v>80</v>
      </c>
      <c r="H290">
        <v>73430064</v>
      </c>
      <c r="I290">
        <v>23865451</v>
      </c>
    </row>
    <row r="291" spans="1:9" x14ac:dyDescent="0.35">
      <c r="A291" s="1">
        <v>30</v>
      </c>
      <c r="B291">
        <v>6550</v>
      </c>
      <c r="C291" t="str">
        <f t="shared" si="4"/>
        <v>306550</v>
      </c>
      <c r="D291">
        <v>109705</v>
      </c>
      <c r="E291" t="s">
        <v>153</v>
      </c>
      <c r="F291" t="s">
        <v>154</v>
      </c>
      <c r="G291" t="s">
        <v>155</v>
      </c>
      <c r="H291">
        <v>115982241</v>
      </c>
      <c r="I291">
        <v>277939</v>
      </c>
    </row>
    <row r="292" spans="1:9" x14ac:dyDescent="0.35">
      <c r="A292" s="1" t="s">
        <v>581</v>
      </c>
      <c r="B292">
        <v>36546</v>
      </c>
      <c r="C292" t="str">
        <f t="shared" si="4"/>
        <v>0636546</v>
      </c>
      <c r="D292">
        <v>109309</v>
      </c>
      <c r="E292" t="s">
        <v>145</v>
      </c>
      <c r="F292" t="s">
        <v>143</v>
      </c>
      <c r="G292" t="s">
        <v>144</v>
      </c>
      <c r="H292">
        <v>23484484</v>
      </c>
      <c r="I292">
        <v>63501</v>
      </c>
    </row>
    <row r="293" spans="1:9" x14ac:dyDescent="0.35">
      <c r="A293" s="1">
        <v>40</v>
      </c>
      <c r="B293">
        <v>9050</v>
      </c>
      <c r="C293" t="str">
        <f t="shared" si="4"/>
        <v>409050</v>
      </c>
      <c r="D293">
        <v>108875</v>
      </c>
      <c r="E293" t="s">
        <v>105</v>
      </c>
      <c r="F293" t="s">
        <v>35</v>
      </c>
      <c r="G293" t="s">
        <v>36</v>
      </c>
      <c r="H293">
        <v>163061337</v>
      </c>
      <c r="I293">
        <v>1516820</v>
      </c>
    </row>
    <row r="294" spans="1:9" x14ac:dyDescent="0.35">
      <c r="A294" s="1" t="s">
        <v>583</v>
      </c>
      <c r="B294">
        <v>7850</v>
      </c>
      <c r="C294" t="str">
        <f t="shared" si="4"/>
        <v>087850</v>
      </c>
      <c r="D294">
        <v>108777</v>
      </c>
      <c r="E294" t="s">
        <v>269</v>
      </c>
      <c r="F294" t="s">
        <v>243</v>
      </c>
      <c r="G294" t="s">
        <v>244</v>
      </c>
      <c r="H294">
        <v>68187535</v>
      </c>
      <c r="I294">
        <v>2688980</v>
      </c>
    </row>
    <row r="295" spans="1:9" x14ac:dyDescent="0.35">
      <c r="A295" s="1" t="s">
        <v>581</v>
      </c>
      <c r="B295">
        <v>65042</v>
      </c>
      <c r="C295" t="str">
        <f t="shared" si="4"/>
        <v>0665042</v>
      </c>
      <c r="D295">
        <v>108467</v>
      </c>
      <c r="E295" t="s">
        <v>342</v>
      </c>
      <c r="F295" t="s">
        <v>143</v>
      </c>
      <c r="G295" t="s">
        <v>144</v>
      </c>
      <c r="H295">
        <v>56681176</v>
      </c>
      <c r="I295">
        <v>26953060</v>
      </c>
    </row>
    <row r="296" spans="1:9" x14ac:dyDescent="0.35">
      <c r="A296" s="1">
        <v>13</v>
      </c>
      <c r="B296">
        <v>68516</v>
      </c>
      <c r="C296" t="str">
        <f t="shared" si="4"/>
        <v>1368516</v>
      </c>
      <c r="D296">
        <v>108180</v>
      </c>
      <c r="E296" t="s">
        <v>162</v>
      </c>
      <c r="F296" t="s">
        <v>163</v>
      </c>
      <c r="G296" t="s">
        <v>164</v>
      </c>
      <c r="H296">
        <v>97532878</v>
      </c>
      <c r="I296">
        <v>2239677</v>
      </c>
    </row>
    <row r="297" spans="1:9" x14ac:dyDescent="0.35">
      <c r="A297" s="1">
        <v>41</v>
      </c>
      <c r="B297">
        <v>34100</v>
      </c>
      <c r="C297" t="str">
        <f t="shared" si="4"/>
        <v>4134100</v>
      </c>
      <c r="D297">
        <v>108026</v>
      </c>
      <c r="E297" t="s">
        <v>106</v>
      </c>
      <c r="F297" t="s">
        <v>95</v>
      </c>
      <c r="G297" t="s">
        <v>96</v>
      </c>
      <c r="H297">
        <v>66482571</v>
      </c>
      <c r="I297">
        <v>31207</v>
      </c>
    </row>
    <row r="298" spans="1:9" x14ac:dyDescent="0.35">
      <c r="A298" s="1" t="s">
        <v>587</v>
      </c>
      <c r="B298">
        <v>80000</v>
      </c>
      <c r="C298" t="str">
        <f t="shared" si="4"/>
        <v>0980000</v>
      </c>
      <c r="D298">
        <v>107841</v>
      </c>
      <c r="E298" t="s">
        <v>410</v>
      </c>
      <c r="F298" t="s">
        <v>364</v>
      </c>
      <c r="G298" t="s">
        <v>365</v>
      </c>
      <c r="H298">
        <v>73861761</v>
      </c>
      <c r="I298">
        <v>1093829</v>
      </c>
    </row>
    <row r="299" spans="1:9" x14ac:dyDescent="0.35">
      <c r="A299" s="1">
        <v>16</v>
      </c>
      <c r="B299">
        <v>52120</v>
      </c>
      <c r="C299" t="str">
        <f t="shared" si="4"/>
        <v>1652120</v>
      </c>
      <c r="D299">
        <v>107787</v>
      </c>
      <c r="E299" t="s">
        <v>309</v>
      </c>
      <c r="F299" t="s">
        <v>273</v>
      </c>
      <c r="G299" t="s">
        <v>274</v>
      </c>
      <c r="H299">
        <v>90857657</v>
      </c>
      <c r="I299">
        <v>178661</v>
      </c>
    </row>
    <row r="300" spans="1:9" x14ac:dyDescent="0.35">
      <c r="A300" s="1">
        <v>48</v>
      </c>
      <c r="B300">
        <v>42508</v>
      </c>
      <c r="C300" t="str">
        <f t="shared" si="4"/>
        <v>4842508</v>
      </c>
      <c r="D300">
        <v>107740</v>
      </c>
      <c r="E300" t="s">
        <v>118</v>
      </c>
      <c r="F300" t="s">
        <v>13</v>
      </c>
      <c r="G300" t="s">
        <v>14</v>
      </c>
      <c r="H300">
        <v>95851124</v>
      </c>
      <c r="I300">
        <v>16090905</v>
      </c>
    </row>
    <row r="301" spans="1:9" x14ac:dyDescent="0.35">
      <c r="A301" s="1" t="s">
        <v>583</v>
      </c>
      <c r="B301">
        <v>32155</v>
      </c>
      <c r="C301" t="str">
        <f t="shared" si="4"/>
        <v>0832155</v>
      </c>
      <c r="D301">
        <v>107445</v>
      </c>
      <c r="E301" t="s">
        <v>304</v>
      </c>
      <c r="F301" t="s">
        <v>243</v>
      </c>
      <c r="G301" t="s">
        <v>244</v>
      </c>
      <c r="H301">
        <v>126735106</v>
      </c>
      <c r="I301">
        <v>413320</v>
      </c>
    </row>
    <row r="302" spans="1:9" x14ac:dyDescent="0.35">
      <c r="A302" s="1" t="s">
        <v>581</v>
      </c>
      <c r="B302">
        <v>17918</v>
      </c>
      <c r="C302" t="str">
        <f t="shared" si="4"/>
        <v>0617918</v>
      </c>
      <c r="D302">
        <v>107197</v>
      </c>
      <c r="E302" t="s">
        <v>328</v>
      </c>
      <c r="F302" t="s">
        <v>143</v>
      </c>
      <c r="G302" t="s">
        <v>144</v>
      </c>
      <c r="H302">
        <v>19783516</v>
      </c>
      <c r="I302">
        <v>0</v>
      </c>
    </row>
    <row r="303" spans="1:9" x14ac:dyDescent="0.35">
      <c r="A303" s="1" t="s">
        <v>583</v>
      </c>
      <c r="B303">
        <v>36410</v>
      </c>
      <c r="C303" t="str">
        <f t="shared" si="4"/>
        <v>0836410</v>
      </c>
      <c r="D303">
        <v>107017</v>
      </c>
      <c r="E303" t="s">
        <v>305</v>
      </c>
      <c r="F303" t="s">
        <v>243</v>
      </c>
      <c r="G303" t="s">
        <v>244</v>
      </c>
      <c r="H303">
        <v>62855152</v>
      </c>
      <c r="I303">
        <v>64891</v>
      </c>
    </row>
    <row r="304" spans="1:9" x14ac:dyDescent="0.35">
      <c r="A304" s="1" t="s">
        <v>581</v>
      </c>
      <c r="B304">
        <v>37692</v>
      </c>
      <c r="C304" t="str">
        <f t="shared" si="4"/>
        <v>0637692</v>
      </c>
      <c r="D304">
        <v>106646</v>
      </c>
      <c r="E304" t="s">
        <v>161</v>
      </c>
      <c r="F304" t="s">
        <v>143</v>
      </c>
      <c r="G304" t="s">
        <v>144</v>
      </c>
      <c r="H304">
        <v>111216608</v>
      </c>
      <c r="I304">
        <v>1914754</v>
      </c>
    </row>
    <row r="305" spans="1:9" x14ac:dyDescent="0.35">
      <c r="A305" s="1">
        <v>48</v>
      </c>
      <c r="B305">
        <v>74144</v>
      </c>
      <c r="C305" t="str">
        <f t="shared" si="4"/>
        <v>4874144</v>
      </c>
      <c r="D305">
        <v>105859</v>
      </c>
      <c r="E305" t="s">
        <v>93</v>
      </c>
      <c r="F305" t="s">
        <v>13</v>
      </c>
      <c r="G305" t="s">
        <v>14</v>
      </c>
      <c r="H305">
        <v>148806389</v>
      </c>
      <c r="I305">
        <v>1343056</v>
      </c>
    </row>
    <row r="306" spans="1:9" x14ac:dyDescent="0.35">
      <c r="A306" s="1" t="s">
        <v>581</v>
      </c>
      <c r="B306">
        <v>84200</v>
      </c>
      <c r="C306" t="str">
        <f t="shared" si="4"/>
        <v>0684200</v>
      </c>
      <c r="D306">
        <v>105808</v>
      </c>
      <c r="E306" t="s">
        <v>147</v>
      </c>
      <c r="F306" t="s">
        <v>143</v>
      </c>
      <c r="G306" t="s">
        <v>144</v>
      </c>
      <c r="H306">
        <v>41535627</v>
      </c>
      <c r="I306">
        <v>124504</v>
      </c>
    </row>
    <row r="307" spans="1:9" x14ac:dyDescent="0.35">
      <c r="A307" s="1">
        <v>12</v>
      </c>
      <c r="B307">
        <v>16475</v>
      </c>
      <c r="C307" t="str">
        <f t="shared" si="4"/>
        <v>1216475</v>
      </c>
      <c r="D307">
        <v>105594</v>
      </c>
      <c r="E307" t="s">
        <v>211</v>
      </c>
      <c r="F307" t="s">
        <v>129</v>
      </c>
      <c r="G307" t="s">
        <v>130</v>
      </c>
      <c r="H307">
        <v>90375842</v>
      </c>
      <c r="I307">
        <v>2259102</v>
      </c>
    </row>
    <row r="308" spans="1:9" x14ac:dyDescent="0.35">
      <c r="A308" s="1" t="s">
        <v>581</v>
      </c>
      <c r="B308">
        <v>69196</v>
      </c>
      <c r="C308" t="str">
        <f t="shared" si="4"/>
        <v>0669196</v>
      </c>
      <c r="D308">
        <v>105528</v>
      </c>
      <c r="E308" t="s">
        <v>350</v>
      </c>
      <c r="F308" t="s">
        <v>143</v>
      </c>
      <c r="G308" t="s">
        <v>144</v>
      </c>
      <c r="H308">
        <v>59078451</v>
      </c>
      <c r="I308">
        <v>1575636</v>
      </c>
    </row>
    <row r="309" spans="1:9" x14ac:dyDescent="0.35">
      <c r="A309" s="1">
        <v>24</v>
      </c>
      <c r="B309">
        <v>19125</v>
      </c>
      <c r="C309" t="str">
        <f t="shared" si="4"/>
        <v>2419125</v>
      </c>
      <c r="D309">
        <v>105412</v>
      </c>
      <c r="E309" t="s">
        <v>53</v>
      </c>
      <c r="F309" t="s">
        <v>279</v>
      </c>
      <c r="G309" t="s">
        <v>280</v>
      </c>
      <c r="H309">
        <v>82707413</v>
      </c>
      <c r="I309">
        <v>663954</v>
      </c>
    </row>
    <row r="310" spans="1:9" x14ac:dyDescent="0.35">
      <c r="A310" s="1">
        <v>48</v>
      </c>
      <c r="B310">
        <v>41980</v>
      </c>
      <c r="C310" t="str">
        <f t="shared" si="4"/>
        <v>4841980</v>
      </c>
      <c r="D310">
        <v>105410</v>
      </c>
      <c r="E310" t="s">
        <v>111</v>
      </c>
      <c r="F310" t="s">
        <v>13</v>
      </c>
      <c r="G310" t="s">
        <v>14</v>
      </c>
      <c r="H310">
        <v>132769933</v>
      </c>
      <c r="I310">
        <v>4663100</v>
      </c>
    </row>
    <row r="311" spans="1:9" x14ac:dyDescent="0.35">
      <c r="A311" s="1" t="s">
        <v>582</v>
      </c>
      <c r="B311">
        <v>64210</v>
      </c>
      <c r="C311" t="str">
        <f t="shared" si="4"/>
        <v>0464210</v>
      </c>
      <c r="D311">
        <v>104936</v>
      </c>
      <c r="E311" t="s">
        <v>368</v>
      </c>
      <c r="F311" t="s">
        <v>283</v>
      </c>
      <c r="G311" t="s">
        <v>284</v>
      </c>
      <c r="H311">
        <v>196310738</v>
      </c>
      <c r="I311">
        <v>0</v>
      </c>
    </row>
    <row r="312" spans="1:9" x14ac:dyDescent="0.35">
      <c r="A312" s="1">
        <v>48</v>
      </c>
      <c r="B312">
        <v>79000</v>
      </c>
      <c r="C312" t="str">
        <f t="shared" si="4"/>
        <v>4879000</v>
      </c>
      <c r="D312">
        <v>104657</v>
      </c>
      <c r="E312" t="s">
        <v>112</v>
      </c>
      <c r="F312" t="s">
        <v>13</v>
      </c>
      <c r="G312" t="s">
        <v>14</v>
      </c>
      <c r="H312">
        <v>186506076</v>
      </c>
      <c r="I312">
        <v>61486</v>
      </c>
    </row>
    <row r="313" spans="1:9" x14ac:dyDescent="0.35">
      <c r="A313" s="1" t="s">
        <v>581</v>
      </c>
      <c r="B313">
        <v>52526</v>
      </c>
      <c r="C313" t="str">
        <f t="shared" si="4"/>
        <v>0652526</v>
      </c>
      <c r="D313">
        <v>104524</v>
      </c>
      <c r="E313" t="s">
        <v>241</v>
      </c>
      <c r="F313" t="s">
        <v>143</v>
      </c>
      <c r="G313" t="s">
        <v>144</v>
      </c>
      <c r="H313">
        <v>25141966</v>
      </c>
      <c r="I313">
        <v>96906</v>
      </c>
    </row>
    <row r="314" spans="1:9" x14ac:dyDescent="0.35">
      <c r="A314" s="1">
        <v>55</v>
      </c>
      <c r="B314">
        <v>31000</v>
      </c>
      <c r="C314" t="str">
        <f t="shared" si="4"/>
        <v>5531000</v>
      </c>
      <c r="D314">
        <v>104508</v>
      </c>
      <c r="E314" t="s">
        <v>100</v>
      </c>
      <c r="F314" t="s">
        <v>101</v>
      </c>
      <c r="G314" t="s">
        <v>102</v>
      </c>
      <c r="H314">
        <v>117789200</v>
      </c>
      <c r="I314">
        <v>26620486</v>
      </c>
    </row>
    <row r="315" spans="1:9" x14ac:dyDescent="0.35">
      <c r="A315" s="1">
        <v>48</v>
      </c>
      <c r="B315">
        <v>1924</v>
      </c>
      <c r="C315" t="str">
        <f t="shared" si="4"/>
        <v>481924</v>
      </c>
      <c r="D315">
        <v>104040</v>
      </c>
      <c r="E315" t="s">
        <v>116</v>
      </c>
      <c r="F315" t="s">
        <v>13</v>
      </c>
      <c r="G315" t="s">
        <v>14</v>
      </c>
      <c r="H315">
        <v>68374802</v>
      </c>
      <c r="I315">
        <v>222371</v>
      </c>
    </row>
    <row r="316" spans="1:9" x14ac:dyDescent="0.35">
      <c r="A316" s="1" t="s">
        <v>581</v>
      </c>
      <c r="B316">
        <v>68252</v>
      </c>
      <c r="C316" t="str">
        <f t="shared" si="4"/>
        <v>0668252</v>
      </c>
      <c r="D316">
        <v>103619</v>
      </c>
      <c r="E316" t="s">
        <v>346</v>
      </c>
      <c r="F316" t="s">
        <v>143</v>
      </c>
      <c r="G316" t="s">
        <v>144</v>
      </c>
      <c r="H316">
        <v>31426840</v>
      </c>
      <c r="I316">
        <v>9622102</v>
      </c>
    </row>
    <row r="317" spans="1:9" x14ac:dyDescent="0.35">
      <c r="A317" s="1" t="s">
        <v>581</v>
      </c>
      <c r="B317">
        <v>60466</v>
      </c>
      <c r="C317" t="str">
        <f t="shared" si="4"/>
        <v>0660466</v>
      </c>
      <c r="D317">
        <v>103549</v>
      </c>
      <c r="E317" t="s">
        <v>302</v>
      </c>
      <c r="F317" t="s">
        <v>143</v>
      </c>
      <c r="G317" t="s">
        <v>144</v>
      </c>
      <c r="H317">
        <v>62393481</v>
      </c>
      <c r="I317">
        <v>0</v>
      </c>
    </row>
    <row r="318" spans="1:9" x14ac:dyDescent="0.35">
      <c r="A318" s="1" t="s">
        <v>581</v>
      </c>
      <c r="B318">
        <v>8954</v>
      </c>
      <c r="C318" t="str">
        <f t="shared" si="4"/>
        <v>068954</v>
      </c>
      <c r="D318">
        <v>103411</v>
      </c>
      <c r="E318" t="s">
        <v>259</v>
      </c>
      <c r="F318" t="s">
        <v>143</v>
      </c>
      <c r="G318" t="s">
        <v>144</v>
      </c>
      <c r="H318">
        <v>44848115</v>
      </c>
      <c r="I318">
        <v>94723</v>
      </c>
    </row>
    <row r="319" spans="1:9" x14ac:dyDescent="0.35">
      <c r="A319" s="1" t="s">
        <v>581</v>
      </c>
      <c r="B319">
        <v>21712</v>
      </c>
      <c r="C319" t="str">
        <f t="shared" si="4"/>
        <v>0621712</v>
      </c>
      <c r="D319">
        <v>103249</v>
      </c>
      <c r="E319" t="s">
        <v>359</v>
      </c>
      <c r="F319" t="s">
        <v>143</v>
      </c>
      <c r="G319" t="s">
        <v>144</v>
      </c>
      <c r="H319">
        <v>37579662</v>
      </c>
      <c r="I319">
        <v>0</v>
      </c>
    </row>
    <row r="320" spans="1:9" x14ac:dyDescent="0.35">
      <c r="A320" s="1">
        <v>35</v>
      </c>
      <c r="B320">
        <v>39380</v>
      </c>
      <c r="C320" t="str">
        <f t="shared" si="4"/>
        <v>3539380</v>
      </c>
      <c r="D320">
        <v>102950</v>
      </c>
      <c r="E320" t="s">
        <v>312</v>
      </c>
      <c r="F320" t="s">
        <v>224</v>
      </c>
      <c r="G320" t="s">
        <v>225</v>
      </c>
      <c r="H320">
        <v>199256107</v>
      </c>
      <c r="I320">
        <v>250841</v>
      </c>
    </row>
    <row r="321" spans="1:9" x14ac:dyDescent="0.35">
      <c r="A321" s="1">
        <v>32</v>
      </c>
      <c r="B321">
        <v>68400</v>
      </c>
      <c r="C321" t="str">
        <f t="shared" si="4"/>
        <v>3268400</v>
      </c>
      <c r="D321">
        <v>102895</v>
      </c>
      <c r="E321" t="s">
        <v>254</v>
      </c>
      <c r="F321" t="s">
        <v>231</v>
      </c>
      <c r="G321" t="s">
        <v>232</v>
      </c>
      <c r="H321">
        <v>94371261</v>
      </c>
      <c r="I321">
        <v>289555</v>
      </c>
    </row>
    <row r="322" spans="1:9" x14ac:dyDescent="0.35">
      <c r="A322" s="1">
        <v>18</v>
      </c>
      <c r="B322">
        <v>71000</v>
      </c>
      <c r="C322" t="str">
        <f t="shared" si="4"/>
        <v>1871000</v>
      </c>
      <c r="D322">
        <v>102686</v>
      </c>
      <c r="E322" t="s">
        <v>183</v>
      </c>
      <c r="F322" t="s">
        <v>184</v>
      </c>
      <c r="G322" t="s">
        <v>185</v>
      </c>
      <c r="H322">
        <v>108716788</v>
      </c>
      <c r="I322">
        <v>1104620</v>
      </c>
    </row>
    <row r="323" spans="1:9" x14ac:dyDescent="0.35">
      <c r="A323" s="1">
        <v>19</v>
      </c>
      <c r="B323">
        <v>19000</v>
      </c>
      <c r="C323" t="str">
        <f t="shared" ref="C323:C327" si="5">CONCATENATE(A323,B323)</f>
        <v>1919000</v>
      </c>
      <c r="D323">
        <v>102199</v>
      </c>
      <c r="E323" t="s">
        <v>310</v>
      </c>
      <c r="F323" t="s">
        <v>276</v>
      </c>
      <c r="G323" t="s">
        <v>277</v>
      </c>
      <c r="H323">
        <v>165229410</v>
      </c>
      <c r="I323">
        <v>5501429</v>
      </c>
    </row>
    <row r="324" spans="1:9" x14ac:dyDescent="0.35">
      <c r="A324" s="1">
        <v>53</v>
      </c>
      <c r="B324">
        <v>57745</v>
      </c>
      <c r="C324" t="str">
        <f t="shared" si="5"/>
        <v>5357745</v>
      </c>
      <c r="D324">
        <v>101871</v>
      </c>
      <c r="E324" t="s">
        <v>90</v>
      </c>
      <c r="F324" t="s">
        <v>43</v>
      </c>
      <c r="G324" t="s">
        <v>44</v>
      </c>
      <c r="H324">
        <v>60796849</v>
      </c>
      <c r="I324">
        <v>4561455</v>
      </c>
    </row>
    <row r="325" spans="1:9" x14ac:dyDescent="0.35">
      <c r="A325" s="1" t="s">
        <v>581</v>
      </c>
      <c r="B325">
        <v>82996</v>
      </c>
      <c r="C325" t="str">
        <f t="shared" si="5"/>
        <v>0682996</v>
      </c>
      <c r="D325">
        <v>100659</v>
      </c>
      <c r="E325" t="s">
        <v>408</v>
      </c>
      <c r="F325" t="s">
        <v>143</v>
      </c>
      <c r="G325" t="s">
        <v>144</v>
      </c>
      <c r="H325">
        <v>48556164</v>
      </c>
      <c r="I325">
        <v>0</v>
      </c>
    </row>
    <row r="326" spans="1:9" x14ac:dyDescent="0.35">
      <c r="A326" s="1" t="s">
        <v>585</v>
      </c>
      <c r="B326">
        <v>77256</v>
      </c>
      <c r="C326" t="str">
        <f t="shared" si="5"/>
        <v>0177256</v>
      </c>
      <c r="D326">
        <v>100633</v>
      </c>
      <c r="E326" t="s">
        <v>194</v>
      </c>
      <c r="F326" t="s">
        <v>139</v>
      </c>
      <c r="G326" t="s">
        <v>140</v>
      </c>
      <c r="H326">
        <v>160313457</v>
      </c>
      <c r="I326">
        <v>26090332</v>
      </c>
    </row>
    <row r="327" spans="1:9" x14ac:dyDescent="0.35">
      <c r="A327" s="1">
        <v>48</v>
      </c>
      <c r="B327">
        <v>64472</v>
      </c>
      <c r="C327" t="str">
        <f t="shared" si="5"/>
        <v>4864472</v>
      </c>
      <c r="D327">
        <v>100509</v>
      </c>
      <c r="E327" t="s">
        <v>65</v>
      </c>
      <c r="F327" t="s">
        <v>13</v>
      </c>
      <c r="G327" t="s">
        <v>14</v>
      </c>
      <c r="H327">
        <v>154609034</v>
      </c>
      <c r="I327">
        <v>5912603</v>
      </c>
    </row>
  </sheetData>
  <sortState xmlns:xlrd2="http://schemas.microsoft.com/office/spreadsheetml/2017/richdata2" ref="A2:I327">
    <sortCondition descending="1" ref="D2:D32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7AB89-9BBF-4196-8056-A009434947DE}">
  <dimension ref="A1:B84"/>
  <sheetViews>
    <sheetView tabSelected="1" topLeftCell="A19" workbookViewId="0">
      <selection activeCell="A31" sqref="A31"/>
    </sheetView>
  </sheetViews>
  <sheetFormatPr defaultRowHeight="14.5" x14ac:dyDescent="0.35"/>
  <cols>
    <col min="1" max="1" width="8.81640625" bestFit="1" customWidth="1"/>
    <col min="2" max="2" width="171.7265625" bestFit="1" customWidth="1"/>
  </cols>
  <sheetData>
    <row r="1" spans="1:2" x14ac:dyDescent="0.35">
      <c r="A1" t="s">
        <v>414</v>
      </c>
      <c r="B1" t="s">
        <v>415</v>
      </c>
    </row>
    <row r="2" spans="1:2" x14ac:dyDescent="0.35">
      <c r="A2" t="s">
        <v>494</v>
      </c>
      <c r="B2" t="s">
        <v>495</v>
      </c>
    </row>
    <row r="3" spans="1:2" x14ac:dyDescent="0.35">
      <c r="A3" t="s">
        <v>498</v>
      </c>
      <c r="B3" t="s">
        <v>499</v>
      </c>
    </row>
    <row r="4" spans="1:2" x14ac:dyDescent="0.35">
      <c r="A4" t="s">
        <v>510</v>
      </c>
      <c r="B4" t="s">
        <v>511</v>
      </c>
    </row>
    <row r="5" spans="1:2" x14ac:dyDescent="0.35">
      <c r="A5" t="s">
        <v>502</v>
      </c>
      <c r="B5" t="s">
        <v>503</v>
      </c>
    </row>
    <row r="6" spans="1:2" x14ac:dyDescent="0.35">
      <c r="A6" t="s">
        <v>416</v>
      </c>
      <c r="B6" t="s">
        <v>417</v>
      </c>
    </row>
    <row r="7" spans="1:2" x14ac:dyDescent="0.35">
      <c r="A7" t="s">
        <v>450</v>
      </c>
      <c r="B7" t="s">
        <v>451</v>
      </c>
    </row>
    <row r="8" spans="1:2" x14ac:dyDescent="0.35">
      <c r="A8" t="s">
        <v>456</v>
      </c>
      <c r="B8" t="s">
        <v>457</v>
      </c>
    </row>
    <row r="9" spans="1:2" x14ac:dyDescent="0.35">
      <c r="A9" t="s">
        <v>424</v>
      </c>
      <c r="B9" t="s">
        <v>425</v>
      </c>
    </row>
    <row r="10" spans="1:2" x14ac:dyDescent="0.35">
      <c r="A10" t="s">
        <v>462</v>
      </c>
      <c r="B10" t="s">
        <v>463</v>
      </c>
    </row>
    <row r="11" spans="1:2" x14ac:dyDescent="0.35">
      <c r="A11" t="s">
        <v>472</v>
      </c>
      <c r="B11" t="s">
        <v>473</v>
      </c>
    </row>
    <row r="12" spans="1:2" x14ac:dyDescent="0.35">
      <c r="A12" t="s">
        <v>478</v>
      </c>
      <c r="B12" t="s">
        <v>479</v>
      </c>
    </row>
    <row r="13" spans="1:2" x14ac:dyDescent="0.35">
      <c r="A13" t="s">
        <v>484</v>
      </c>
      <c r="B13" t="s">
        <v>485</v>
      </c>
    </row>
    <row r="14" spans="1:2" x14ac:dyDescent="0.35">
      <c r="A14" t="s">
        <v>543</v>
      </c>
      <c r="B14" t="s">
        <v>544</v>
      </c>
    </row>
    <row r="15" spans="1:2" x14ac:dyDescent="0.35">
      <c r="A15" t="s">
        <v>506</v>
      </c>
      <c r="B15" t="s">
        <v>507</v>
      </c>
    </row>
    <row r="16" spans="1:2" x14ac:dyDescent="0.35">
      <c r="A16" t="s">
        <v>464</v>
      </c>
      <c r="B16" t="s">
        <v>465</v>
      </c>
    </row>
    <row r="17" spans="1:2" x14ac:dyDescent="0.35">
      <c r="A17" t="s">
        <v>565</v>
      </c>
      <c r="B17" t="s">
        <v>566</v>
      </c>
    </row>
    <row r="18" spans="1:2" x14ac:dyDescent="0.35">
      <c r="A18" t="s">
        <v>474</v>
      </c>
      <c r="B18" t="s">
        <v>475</v>
      </c>
    </row>
    <row r="19" spans="1:2" x14ac:dyDescent="0.35">
      <c r="A19" t="s">
        <v>553</v>
      </c>
      <c r="B19" t="s">
        <v>554</v>
      </c>
    </row>
    <row r="20" spans="1:2" x14ac:dyDescent="0.35">
      <c r="A20" t="s">
        <v>557</v>
      </c>
      <c r="B20" t="s">
        <v>558</v>
      </c>
    </row>
    <row r="21" spans="1:2" x14ac:dyDescent="0.35">
      <c r="A21" t="s">
        <v>567</v>
      </c>
      <c r="B21" t="s">
        <v>568</v>
      </c>
    </row>
    <row r="22" spans="1:2" x14ac:dyDescent="0.35">
      <c r="A22" t="s">
        <v>480</v>
      </c>
      <c r="B22" t="s">
        <v>481</v>
      </c>
    </row>
    <row r="23" spans="1:2" x14ac:dyDescent="0.35">
      <c r="A23" t="s">
        <v>486</v>
      </c>
      <c r="B23" t="s">
        <v>487</v>
      </c>
    </row>
    <row r="24" spans="1:2" x14ac:dyDescent="0.35">
      <c r="A24" t="s">
        <v>432</v>
      </c>
      <c r="B24" t="s">
        <v>433</v>
      </c>
    </row>
    <row r="25" spans="1:2" x14ac:dyDescent="0.35">
      <c r="A25" t="s">
        <v>434</v>
      </c>
      <c r="B25" t="s">
        <v>435</v>
      </c>
    </row>
    <row r="26" spans="1:2" x14ac:dyDescent="0.35">
      <c r="A26" t="s">
        <v>530</v>
      </c>
      <c r="B26" t="s">
        <v>531</v>
      </c>
    </row>
    <row r="27" spans="1:2" x14ac:dyDescent="0.35">
      <c r="A27" t="s">
        <v>438</v>
      </c>
      <c r="B27" t="s">
        <v>439</v>
      </c>
    </row>
    <row r="28" spans="1:2" x14ac:dyDescent="0.35">
      <c r="A28" t="s">
        <v>569</v>
      </c>
      <c r="B28" t="s">
        <v>570</v>
      </c>
    </row>
    <row r="29" spans="1:2" x14ac:dyDescent="0.35">
      <c r="A29" t="s">
        <v>533</v>
      </c>
      <c r="B29" t="s">
        <v>534</v>
      </c>
    </row>
    <row r="30" spans="1:2" x14ac:dyDescent="0.35">
      <c r="A30" t="s">
        <v>442</v>
      </c>
      <c r="B30" t="s">
        <v>443</v>
      </c>
    </row>
    <row r="31" spans="1:2" x14ac:dyDescent="0.35">
      <c r="A31" t="s">
        <v>512</v>
      </c>
      <c r="B31" t="s">
        <v>513</v>
      </c>
    </row>
    <row r="32" spans="1:2" x14ac:dyDescent="0.35">
      <c r="A32" t="s">
        <v>514</v>
      </c>
      <c r="B32" t="s">
        <v>515</v>
      </c>
    </row>
    <row r="33" spans="1:2" x14ac:dyDescent="0.35">
      <c r="A33" t="s">
        <v>418</v>
      </c>
      <c r="B33" t="s">
        <v>419</v>
      </c>
    </row>
    <row r="34" spans="1:2" x14ac:dyDescent="0.35">
      <c r="A34" t="s">
        <v>422</v>
      </c>
      <c r="B34" t="s">
        <v>423</v>
      </c>
    </row>
    <row r="35" spans="1:2" x14ac:dyDescent="0.35">
      <c r="A35" t="s">
        <v>426</v>
      </c>
      <c r="B35" t="s">
        <v>427</v>
      </c>
    </row>
    <row r="36" spans="1:2" x14ac:dyDescent="0.35">
      <c r="A36" t="s">
        <v>516</v>
      </c>
      <c r="B36" t="s">
        <v>517</v>
      </c>
    </row>
    <row r="37" spans="1:2" x14ac:dyDescent="0.35">
      <c r="A37" t="s">
        <v>518</v>
      </c>
      <c r="B37" t="s">
        <v>519</v>
      </c>
    </row>
    <row r="38" spans="1:2" x14ac:dyDescent="0.35">
      <c r="A38" t="s">
        <v>520</v>
      </c>
      <c r="B38" t="s">
        <v>521</v>
      </c>
    </row>
    <row r="39" spans="1:2" x14ac:dyDescent="0.35">
      <c r="A39" t="s">
        <v>539</v>
      </c>
      <c r="B39" t="s">
        <v>540</v>
      </c>
    </row>
    <row r="40" spans="1:2" x14ac:dyDescent="0.35">
      <c r="A40" t="s">
        <v>545</v>
      </c>
      <c r="B40" t="s">
        <v>546</v>
      </c>
    </row>
    <row r="41" spans="1:2" x14ac:dyDescent="0.35">
      <c r="A41" t="s">
        <v>522</v>
      </c>
      <c r="B41" t="s">
        <v>523</v>
      </c>
    </row>
    <row r="42" spans="1:2" x14ac:dyDescent="0.35">
      <c r="A42" t="s">
        <v>524</v>
      </c>
      <c r="B42" t="s">
        <v>525</v>
      </c>
    </row>
    <row r="43" spans="1:2" x14ac:dyDescent="0.35">
      <c r="A43" t="s">
        <v>528</v>
      </c>
      <c r="B43" t="s">
        <v>529</v>
      </c>
    </row>
    <row r="44" spans="1:2" x14ac:dyDescent="0.35">
      <c r="A44" t="s">
        <v>492</v>
      </c>
      <c r="B44" t="s">
        <v>493</v>
      </c>
    </row>
    <row r="45" spans="1:2" x14ac:dyDescent="0.35">
      <c r="A45" t="s">
        <v>490</v>
      </c>
      <c r="B45" t="s">
        <v>491</v>
      </c>
    </row>
    <row r="46" spans="1:2" x14ac:dyDescent="0.35">
      <c r="A46" t="s">
        <v>571</v>
      </c>
      <c r="B46" t="s">
        <v>572</v>
      </c>
    </row>
    <row r="47" spans="1:2" x14ac:dyDescent="0.35">
      <c r="A47" t="s">
        <v>496</v>
      </c>
      <c r="B47" t="s">
        <v>497</v>
      </c>
    </row>
    <row r="48" spans="1:2" x14ac:dyDescent="0.35">
      <c r="A48" t="s">
        <v>573</v>
      </c>
      <c r="B48" t="s">
        <v>574</v>
      </c>
    </row>
    <row r="49" spans="1:2" x14ac:dyDescent="0.35">
      <c r="A49" t="s">
        <v>579</v>
      </c>
      <c r="B49" t="s">
        <v>580</v>
      </c>
    </row>
    <row r="50" spans="1:2" x14ac:dyDescent="0.35">
      <c r="A50" t="s">
        <v>575</v>
      </c>
      <c r="B50" t="s">
        <v>576</v>
      </c>
    </row>
    <row r="51" spans="1:2" x14ac:dyDescent="0.35">
      <c r="A51" t="s">
        <v>504</v>
      </c>
      <c r="B51" t="s">
        <v>505</v>
      </c>
    </row>
    <row r="52" spans="1:2" x14ac:dyDescent="0.35">
      <c r="A52" t="s">
        <v>500</v>
      </c>
      <c r="B52" t="s">
        <v>501</v>
      </c>
    </row>
    <row r="53" spans="1:2" x14ac:dyDescent="0.35">
      <c r="A53" t="s">
        <v>452</v>
      </c>
      <c r="B53" t="s">
        <v>453</v>
      </c>
    </row>
    <row r="54" spans="1:2" x14ac:dyDescent="0.35">
      <c r="A54" t="s">
        <v>446</v>
      </c>
      <c r="B54" t="s">
        <v>447</v>
      </c>
    </row>
    <row r="55" spans="1:2" x14ac:dyDescent="0.35">
      <c r="A55" t="s">
        <v>466</v>
      </c>
      <c r="B55" t="s">
        <v>467</v>
      </c>
    </row>
    <row r="56" spans="1:2" x14ac:dyDescent="0.35">
      <c r="A56" t="s">
        <v>458</v>
      </c>
      <c r="B56" t="s">
        <v>459</v>
      </c>
    </row>
    <row r="57" spans="1:2" x14ac:dyDescent="0.35">
      <c r="A57" t="s">
        <v>482</v>
      </c>
      <c r="B57" t="s">
        <v>483</v>
      </c>
    </row>
    <row r="58" spans="1:2" x14ac:dyDescent="0.35">
      <c r="A58" t="s">
        <v>476</v>
      </c>
      <c r="B58" t="s">
        <v>477</v>
      </c>
    </row>
    <row r="59" spans="1:2" x14ac:dyDescent="0.35">
      <c r="A59" t="s">
        <v>488</v>
      </c>
      <c r="B59" t="s">
        <v>489</v>
      </c>
    </row>
    <row r="60" spans="1:2" x14ac:dyDescent="0.35">
      <c r="A60" t="s">
        <v>436</v>
      </c>
      <c r="B60" t="s">
        <v>437</v>
      </c>
    </row>
    <row r="61" spans="1:2" x14ac:dyDescent="0.35">
      <c r="A61" t="s">
        <v>444</v>
      </c>
      <c r="B61" t="s">
        <v>445</v>
      </c>
    </row>
    <row r="62" spans="1:2" x14ac:dyDescent="0.35">
      <c r="A62" t="s">
        <v>440</v>
      </c>
      <c r="B62" t="s">
        <v>441</v>
      </c>
    </row>
    <row r="63" spans="1:2" x14ac:dyDescent="0.35">
      <c r="A63" t="s">
        <v>420</v>
      </c>
      <c r="B63" t="s">
        <v>421</v>
      </c>
    </row>
    <row r="64" spans="1:2" x14ac:dyDescent="0.35">
      <c r="A64" t="s">
        <v>430</v>
      </c>
      <c r="B64" t="s">
        <v>431</v>
      </c>
    </row>
    <row r="65" spans="1:2" x14ac:dyDescent="0.35">
      <c r="A65" t="s">
        <v>428</v>
      </c>
      <c r="B65" t="s">
        <v>429</v>
      </c>
    </row>
    <row r="66" spans="1:2" x14ac:dyDescent="0.35">
      <c r="A66" t="s">
        <v>577</v>
      </c>
      <c r="B66" t="s">
        <v>578</v>
      </c>
    </row>
    <row r="67" spans="1:2" x14ac:dyDescent="0.35">
      <c r="A67" t="s">
        <v>541</v>
      </c>
      <c r="B67" t="s">
        <v>542</v>
      </c>
    </row>
    <row r="68" spans="1:2" x14ac:dyDescent="0.35">
      <c r="A68" t="s">
        <v>535</v>
      </c>
      <c r="B68" t="s">
        <v>536</v>
      </c>
    </row>
    <row r="69" spans="1:2" x14ac:dyDescent="0.35">
      <c r="A69" t="s">
        <v>549</v>
      </c>
      <c r="B69" t="s">
        <v>550</v>
      </c>
    </row>
    <row r="70" spans="1:2" x14ac:dyDescent="0.35">
      <c r="A70" t="s">
        <v>559</v>
      </c>
      <c r="B70" t="s">
        <v>560</v>
      </c>
    </row>
    <row r="71" spans="1:2" x14ac:dyDescent="0.35">
      <c r="A71" t="s">
        <v>555</v>
      </c>
      <c r="B71" t="s">
        <v>556</v>
      </c>
    </row>
    <row r="72" spans="1:2" x14ac:dyDescent="0.35">
      <c r="A72" t="s">
        <v>526</v>
      </c>
      <c r="B72" t="s">
        <v>527</v>
      </c>
    </row>
    <row r="73" spans="1:2" x14ac:dyDescent="0.35">
      <c r="A73" t="s">
        <v>454</v>
      </c>
      <c r="B73" t="s">
        <v>455</v>
      </c>
    </row>
    <row r="74" spans="1:2" x14ac:dyDescent="0.35">
      <c r="A74" t="s">
        <v>448</v>
      </c>
      <c r="B74" t="s">
        <v>449</v>
      </c>
    </row>
    <row r="75" spans="1:2" x14ac:dyDescent="0.35">
      <c r="A75" t="s">
        <v>532</v>
      </c>
      <c r="B75" t="s">
        <v>449</v>
      </c>
    </row>
    <row r="76" spans="1:2" x14ac:dyDescent="0.35">
      <c r="A76" t="s">
        <v>468</v>
      </c>
      <c r="B76" t="s">
        <v>469</v>
      </c>
    </row>
    <row r="77" spans="1:2" x14ac:dyDescent="0.35">
      <c r="A77" t="s">
        <v>537</v>
      </c>
      <c r="B77" t="s">
        <v>538</v>
      </c>
    </row>
    <row r="78" spans="1:2" x14ac:dyDescent="0.35">
      <c r="A78" t="s">
        <v>551</v>
      </c>
      <c r="B78" t="s">
        <v>552</v>
      </c>
    </row>
    <row r="79" spans="1:2" x14ac:dyDescent="0.35">
      <c r="A79" t="s">
        <v>508</v>
      </c>
      <c r="B79" t="s">
        <v>509</v>
      </c>
    </row>
    <row r="80" spans="1:2" x14ac:dyDescent="0.35">
      <c r="A80" t="s">
        <v>547</v>
      </c>
      <c r="B80" t="s">
        <v>548</v>
      </c>
    </row>
    <row r="81" spans="1:2" x14ac:dyDescent="0.35">
      <c r="A81" t="s">
        <v>561</v>
      </c>
      <c r="B81" t="s">
        <v>562</v>
      </c>
    </row>
    <row r="82" spans="1:2" x14ac:dyDescent="0.35">
      <c r="A82" t="s">
        <v>470</v>
      </c>
      <c r="B82" t="s">
        <v>471</v>
      </c>
    </row>
    <row r="83" spans="1:2" x14ac:dyDescent="0.35">
      <c r="A83" t="s">
        <v>460</v>
      </c>
      <c r="B83" t="s">
        <v>461</v>
      </c>
    </row>
    <row r="84" spans="1:2" x14ac:dyDescent="0.35">
      <c r="A84" t="s">
        <v>563</v>
      </c>
      <c r="B84" t="s">
        <v>564</v>
      </c>
    </row>
  </sheetData>
  <sortState xmlns:xlrd2="http://schemas.microsoft.com/office/spreadsheetml/2017/richdata2" ref="A1:B84">
    <sortCondition ref="A1:A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places</vt:lpstr>
      <vt:lpstr>acs_subject_tables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 Scott Smith</dc:creator>
  <cp:lastModifiedBy>C. Scott Smith</cp:lastModifiedBy>
  <dcterms:created xsi:type="dcterms:W3CDTF">2022-03-30T10:36:47Z</dcterms:created>
  <dcterms:modified xsi:type="dcterms:W3CDTF">2022-04-04T19:35:47Z</dcterms:modified>
</cp:coreProperties>
</file>